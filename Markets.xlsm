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WebImage.xml" ContentType="application/vnd.ms-excel.rdrichvaluewebimage+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901" codeName="{4D1C537B-E38A-612A-F078-A93A15B4B7F4}"/>
  <workbookPr codeName="ThisWorkbook" defaultThemeVersion="166925"/>
  <mc:AlternateContent xmlns:mc="http://schemas.openxmlformats.org/markup-compatibility/2006">
    <mc:Choice Requires="x15">
      <x15ac:absPath xmlns:x15ac="http://schemas.microsoft.com/office/spreadsheetml/2010/11/ac" url="https://ocbcgroup.sharepoint.com/sites/GWPEquitiesTesters/Shared Documents/General/"/>
    </mc:Choice>
  </mc:AlternateContent>
  <xr:revisionPtr revIDLastSave="6108" documentId="8_{E6352594-5631-41F2-8283-78C4ED5C77D1}" xr6:coauthVersionLast="46" xr6:coauthVersionMax="46" xr10:uidLastSave="{B613D12D-3551-4BC7-A17E-B0C0D32BB66E}"/>
  <bookViews>
    <workbookView minimized="1" xWindow="-26985" yWindow="1815" windowWidth="21600" windowHeight="11835" tabRatio="781" xr2:uid="{6968E287-C626-4B88-8704-34988FABD6CB}"/>
  </bookViews>
  <sheets>
    <sheet name="Markets" sheetId="2" r:id="rId1"/>
    <sheet name="Sheet1" sheetId="20" r:id="rId2"/>
    <sheet name="Calendar" sheetId="19" r:id="rId3"/>
    <sheet name="AMEX" sheetId="3" r:id="rId4"/>
    <sheet name="ASX" sheetId="4" r:id="rId5"/>
    <sheet name="BURSA" sheetId="5" r:id="rId6"/>
    <sheet name="HKG" sheetId="6" r:id="rId7"/>
    <sheet name="IDX" sheetId="7" r:id="rId8"/>
    <sheet name="LSE" sheetId="8" r:id="rId9"/>
    <sheet name="NASDAQ" sheetId="9" r:id="rId10"/>
    <sheet name="NYSE" sheetId="10" r:id="rId11"/>
    <sheet name="PHS" sheetId="11" r:id="rId12"/>
    <sheet name="SET" sheetId="12" r:id="rId13"/>
    <sheet name="SGX" sheetId="13" r:id="rId14"/>
    <sheet name="SGXO" sheetId="14" r:id="rId15"/>
    <sheet name="SSEA" sheetId="15" r:id="rId16"/>
    <sheet name="SSEB" sheetId="16" r:id="rId17"/>
    <sheet name="SZSE" sheetId="17" r:id="rId18"/>
    <sheet name="TSE" sheetId="18" r:id="rId19"/>
  </sheets>
  <definedNames>
    <definedName name="SearchCode">Markets!$W$2:$W$17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J17" i="2" l="1"/>
  <c r="J16" i="2"/>
  <c r="J15" i="2"/>
  <c r="J14" i="2"/>
  <c r="J12" i="2"/>
  <c r="J13" i="2"/>
  <c r="J11" i="2"/>
  <c r="J10" i="2"/>
  <c r="J9" i="2"/>
  <c r="J8" i="2"/>
  <c r="J7" i="2"/>
  <c r="J6" i="2"/>
  <c r="J5" i="2"/>
  <c r="J4" i="2"/>
  <c r="J3" i="2"/>
  <c r="J2" i="2"/>
  <c r="I3" i="2"/>
  <c r="I2" i="2"/>
  <c r="G27" i="19"/>
  <c r="K2" i="19"/>
  <c r="E27" i="19"/>
  <c r="AW4" i="19" l="1"/>
  <c r="N3" i="2"/>
  <c r="K3" i="2"/>
  <c r="N9" i="2"/>
  <c r="N8" i="2"/>
  <c r="K9" i="2"/>
  <c r="K8" i="2"/>
  <c r="N2" i="2"/>
  <c r="K2" i="2"/>
  <c r="AU4" i="19"/>
  <c r="C29" i="19" a="1"/>
  <c r="C29" i="19" s="1"/>
  <c r="D27" i="19"/>
  <c r="C2" i="19" a="1"/>
  <c r="C2" i="19" s="1"/>
  <c r="C28" i="19"/>
  <c r="A3" i="19" a="1"/>
  <c r="A3" i="19" s="1"/>
  <c r="AO20" i="19"/>
  <c r="AO19" i="19"/>
  <c r="AO18" i="19"/>
  <c r="AO17" i="19"/>
  <c r="AO16" i="19"/>
  <c r="AO15" i="19"/>
  <c r="AO14" i="19"/>
  <c r="AO13" i="19"/>
  <c r="AO12" i="19"/>
  <c r="AO11" i="19"/>
  <c r="AO10" i="19"/>
  <c r="AO9" i="19"/>
  <c r="AO8" i="19"/>
  <c r="AO7" i="19"/>
  <c r="AO6" i="19"/>
  <c r="AO5" i="19"/>
  <c r="AS23" i="19"/>
  <c r="AS22" i="19"/>
  <c r="AS21" i="19"/>
  <c r="AS20" i="19"/>
  <c r="AS19" i="19"/>
  <c r="AS18" i="19"/>
  <c r="AS17" i="19"/>
  <c r="AS16" i="19"/>
  <c r="AS15" i="19"/>
  <c r="AS14" i="19"/>
  <c r="AS13" i="19"/>
  <c r="AS12" i="19"/>
  <c r="AS11" i="19"/>
  <c r="AS10" i="19"/>
  <c r="AS9" i="19"/>
  <c r="AS8" i="19"/>
  <c r="AS7" i="19"/>
  <c r="AS6" i="19"/>
  <c r="AS5" i="19"/>
  <c r="AW79" i="19" l="1" a="1"/>
  <c r="AW79" i="19" s="1"/>
  <c r="AX79" i="19" s="1" a="1"/>
  <c r="AX79" i="19" s="1"/>
  <c r="AY79" i="19" s="1"/>
  <c r="AW66" i="19" a="1"/>
  <c r="AW66" i="19" s="1"/>
  <c r="AX66" i="19" s="1" a="1"/>
  <c r="AX66" i="19" s="1"/>
  <c r="AY66" i="19" s="1"/>
  <c r="AW76" i="19" a="1"/>
  <c r="AW76" i="19" s="1"/>
  <c r="AX76" i="19" s="1" a="1"/>
  <c r="AX76" i="19" s="1"/>
  <c r="AY76" i="19" s="1"/>
  <c r="AW67" i="19" a="1"/>
  <c r="AW67" i="19" s="1"/>
  <c r="AX67" i="19" s="1" a="1"/>
  <c r="AX67" i="19" s="1"/>
  <c r="AY67" i="19" s="1"/>
  <c r="AW78" i="19" a="1"/>
  <c r="AW78" i="19" s="1"/>
  <c r="AX78" i="19" s="1" a="1"/>
  <c r="AX78" i="19" s="1"/>
  <c r="AY78" i="19" s="1"/>
  <c r="AW69" i="19" a="1"/>
  <c r="AW69" i="19" s="1"/>
  <c r="AX69" i="19" s="1" a="1"/>
  <c r="AX69" i="19" s="1"/>
  <c r="AY69" i="19" s="1"/>
  <c r="AW77" i="19" a="1"/>
  <c r="AW77" i="19" s="1"/>
  <c r="AX77" i="19" s="1" a="1"/>
  <c r="AX77" i="19" s="1"/>
  <c r="AY77" i="19" s="1"/>
  <c r="AW68" i="19" a="1"/>
  <c r="AW68" i="19" s="1"/>
  <c r="AX68" i="19" s="1" a="1"/>
  <c r="AX68" i="19" s="1"/>
  <c r="AY68" i="19" s="1"/>
  <c r="AX75" i="19" a="1"/>
  <c r="AX75" i="19" s="1"/>
  <c r="AY75" i="19" s="1"/>
  <c r="AW65" i="19" a="1"/>
  <c r="AW65" i="19" s="1"/>
  <c r="AX65" i="19" a="1"/>
  <c r="AX65" i="19" s="1"/>
  <c r="AY65" i="19" s="1"/>
  <c r="AW75" i="19" a="1"/>
  <c r="AW75" i="19" s="1"/>
  <c r="AV20" i="19" a="1"/>
  <c r="AV20" i="19" s="1"/>
  <c r="AU20" i="19" s="1"/>
  <c r="AV18" i="19" a="1"/>
  <c r="AV18" i="19" s="1"/>
  <c r="AU18" i="19" s="1"/>
  <c r="AE20" i="19"/>
  <c r="AE19" i="19"/>
  <c r="AE18" i="19"/>
  <c r="AE17" i="19"/>
  <c r="AE16" i="19"/>
  <c r="AE15" i="19"/>
  <c r="AE14" i="19"/>
  <c r="AE13" i="19"/>
  <c r="AE12" i="19"/>
  <c r="AE11" i="19"/>
  <c r="AE10" i="19"/>
  <c r="AE9" i="19"/>
  <c r="AE8" i="19"/>
  <c r="AE7" i="19"/>
  <c r="AE6" i="19"/>
  <c r="AE5" i="19"/>
  <c r="S22" i="19"/>
  <c r="S21" i="19"/>
  <c r="S20" i="19"/>
  <c r="S19" i="19"/>
  <c r="S18" i="19"/>
  <c r="S17" i="19"/>
  <c r="S16" i="19"/>
  <c r="S15" i="19"/>
  <c r="S14" i="19"/>
  <c r="S13" i="19"/>
  <c r="S12" i="19"/>
  <c r="S11" i="19"/>
  <c r="S10" i="19"/>
  <c r="S9" i="19"/>
  <c r="S8" i="19"/>
  <c r="S7" i="19"/>
  <c r="S6" i="19"/>
  <c r="S5" i="19"/>
  <c r="AW16" i="19" s="1" a="1"/>
  <c r="AW16" i="19" s="1"/>
  <c r="AX16" i="19" s="1" a="1"/>
  <c r="AX16" i="19" s="1"/>
  <c r="AY16" i="19" s="1"/>
  <c r="W19" i="19"/>
  <c r="W18" i="19"/>
  <c r="W17" i="19"/>
  <c r="W16" i="19"/>
  <c r="W15" i="19"/>
  <c r="W14" i="19"/>
  <c r="W13" i="19"/>
  <c r="W12" i="19"/>
  <c r="W11" i="19"/>
  <c r="W10" i="19"/>
  <c r="W9" i="19"/>
  <c r="W8" i="19"/>
  <c r="W7" i="19"/>
  <c r="W6" i="19"/>
  <c r="W5" i="19"/>
  <c r="AG21" i="19"/>
  <c r="AG20" i="19"/>
  <c r="AG19" i="19"/>
  <c r="AG18" i="19"/>
  <c r="AG17" i="19"/>
  <c r="AG16" i="19"/>
  <c r="AG15" i="19"/>
  <c r="AG14" i="19"/>
  <c r="AG13" i="19"/>
  <c r="AG12" i="19"/>
  <c r="AG11" i="19"/>
  <c r="AG10" i="19"/>
  <c r="AG9" i="19"/>
  <c r="AG8" i="19"/>
  <c r="AG7" i="19"/>
  <c r="AG6" i="19"/>
  <c r="AG5" i="19"/>
  <c r="AW51" i="19" s="1" a="1"/>
  <c r="AW51" i="19" s="1"/>
  <c r="AX51" i="19" s="1" a="1"/>
  <c r="AX51" i="19" s="1"/>
  <c r="AY51" i="19" s="1"/>
  <c r="AK14" i="19"/>
  <c r="AI14" i="19"/>
  <c r="AK13" i="19"/>
  <c r="AI13" i="19"/>
  <c r="AK12" i="19"/>
  <c r="AI12" i="19"/>
  <c r="AK11" i="19"/>
  <c r="AI11" i="19"/>
  <c r="AK10" i="19"/>
  <c r="AI10" i="19"/>
  <c r="AK9" i="19"/>
  <c r="AI9" i="19"/>
  <c r="AK8" i="19"/>
  <c r="AI8" i="19"/>
  <c r="AK7" i="19"/>
  <c r="AI7" i="19"/>
  <c r="AK6" i="19"/>
  <c r="AI6" i="19"/>
  <c r="AK5" i="19"/>
  <c r="AV16" i="19" s="1" a="1"/>
  <c r="AV16" i="19" s="1"/>
  <c r="AU16" i="19" s="1"/>
  <c r="AI5" i="19"/>
  <c r="AW56" i="19" s="1" a="1"/>
  <c r="AW56" i="19" s="1"/>
  <c r="AX56" i="19" s="1" a="1"/>
  <c r="AX56" i="19" s="1"/>
  <c r="AY56" i="19" s="1"/>
  <c r="Y12" i="19"/>
  <c r="Y11" i="19"/>
  <c r="Y10" i="19"/>
  <c r="Y9" i="19"/>
  <c r="Y8" i="19"/>
  <c r="Y7" i="19"/>
  <c r="Y6" i="19"/>
  <c r="Y5" i="19"/>
  <c r="AW33" i="19" s="1" a="1"/>
  <c r="AW33" i="19" s="1"/>
  <c r="AX33" i="19" s="1" a="1"/>
  <c r="AX33" i="19" s="1"/>
  <c r="AY33" i="19" s="1"/>
  <c r="AQ22" i="19"/>
  <c r="AQ21" i="19"/>
  <c r="AQ20" i="19"/>
  <c r="AQ19" i="19"/>
  <c r="AQ18" i="19"/>
  <c r="AQ16" i="19"/>
  <c r="AQ17" i="19"/>
  <c r="AQ15" i="19"/>
  <c r="AQ14" i="19"/>
  <c r="AQ13" i="19"/>
  <c r="AQ12" i="19"/>
  <c r="AQ11" i="19"/>
  <c r="AQ10" i="19"/>
  <c r="AQ9" i="19"/>
  <c r="AQ8" i="19"/>
  <c r="AQ7" i="19"/>
  <c r="AQ6" i="19"/>
  <c r="AQ5" i="19"/>
  <c r="U17" i="19"/>
  <c r="U16" i="19"/>
  <c r="U15" i="19"/>
  <c r="U14" i="19"/>
  <c r="U13" i="19"/>
  <c r="U12" i="19"/>
  <c r="U11" i="19"/>
  <c r="U10" i="19"/>
  <c r="U9" i="19"/>
  <c r="U8" i="19"/>
  <c r="U7" i="19"/>
  <c r="U6" i="19"/>
  <c r="U5" i="19"/>
  <c r="AM20" i="19"/>
  <c r="AM19" i="19"/>
  <c r="AM18" i="19"/>
  <c r="AM17" i="19"/>
  <c r="AM16" i="19"/>
  <c r="AM15" i="19"/>
  <c r="AM14" i="19"/>
  <c r="AM13" i="19"/>
  <c r="AM12" i="19"/>
  <c r="AM11" i="19"/>
  <c r="AM10" i="19"/>
  <c r="AM9" i="19"/>
  <c r="AM7" i="19"/>
  <c r="AM8" i="19"/>
  <c r="AM6" i="19"/>
  <c r="AM5" i="19"/>
  <c r="AC13" i="19"/>
  <c r="AA13" i="19"/>
  <c r="O13" i="19"/>
  <c r="O10" i="19"/>
  <c r="Q11" i="19"/>
  <c r="Q10" i="19"/>
  <c r="Q9" i="19"/>
  <c r="Q8" i="19"/>
  <c r="Q7" i="19"/>
  <c r="Q6" i="19"/>
  <c r="Q5" i="19"/>
  <c r="AA12" i="19"/>
  <c r="AA11" i="19"/>
  <c r="AA10" i="19"/>
  <c r="AA9" i="19"/>
  <c r="AA8" i="19"/>
  <c r="AA7" i="19"/>
  <c r="AA6" i="19"/>
  <c r="AA5" i="19"/>
  <c r="AC12" i="19"/>
  <c r="AC11" i="19"/>
  <c r="AC10" i="19"/>
  <c r="AC9" i="19"/>
  <c r="AC8" i="19"/>
  <c r="AC7" i="19"/>
  <c r="AC6" i="19"/>
  <c r="AC5" i="19"/>
  <c r="O12" i="19"/>
  <c r="O11" i="19"/>
  <c r="O9" i="19"/>
  <c r="O8" i="19"/>
  <c r="O7" i="19"/>
  <c r="O6" i="19"/>
  <c r="O5" i="19"/>
  <c r="C6" i="19"/>
  <c r="B6" i="19" s="1"/>
  <c r="AX20" i="19" l="1" a="1"/>
  <c r="AX20" i="19" s="1"/>
  <c r="AY20" i="19" s="1"/>
  <c r="AV10" i="19" a="1"/>
  <c r="AV10" i="19" s="1"/>
  <c r="AU10" i="19" s="1"/>
  <c r="AV14" i="19" a="1"/>
  <c r="AV14" i="19" s="1"/>
  <c r="AU14" i="19" s="1"/>
  <c r="AW29" i="19" a="1"/>
  <c r="AW29" i="19" s="1"/>
  <c r="AX29" i="19" s="1" a="1"/>
  <c r="AX29" i="19" s="1"/>
  <c r="AY29" i="19" s="1"/>
  <c r="AW17" i="19" a="1"/>
  <c r="AW17" i="19" s="1"/>
  <c r="AX17" i="19" s="1" a="1"/>
  <c r="AX17" i="19" s="1"/>
  <c r="AY17" i="19" s="1"/>
  <c r="AW62" i="19" a="1"/>
  <c r="AW62" i="19" s="1"/>
  <c r="AX62" i="19" s="1" a="1"/>
  <c r="AX62" i="19" s="1"/>
  <c r="AY62" i="19" s="1"/>
  <c r="AW44" i="19" a="1"/>
  <c r="AW44" i="19" s="1"/>
  <c r="AX44" i="19" s="1" a="1"/>
  <c r="AX44" i="19" s="1"/>
  <c r="AY44" i="19" s="1"/>
  <c r="AW12" i="19" a="1"/>
  <c r="AW12" i="19" s="1"/>
  <c r="AX12" i="19" s="1" a="1"/>
  <c r="AX12" i="19" s="1"/>
  <c r="AY12" i="19" s="1"/>
  <c r="AW72" i="19" a="1"/>
  <c r="AW72" i="19" s="1"/>
  <c r="AX72" i="19" s="1" a="1"/>
  <c r="AX72" i="19" s="1"/>
  <c r="AY72" i="19" s="1"/>
  <c r="AX45" i="19" a="1"/>
  <c r="AX45" i="19" s="1"/>
  <c r="AY45" i="19" s="1"/>
  <c r="AW39" i="19" a="1"/>
  <c r="AW39" i="19" s="1"/>
  <c r="AX39" i="19" s="1" a="1"/>
  <c r="AX39" i="19" s="1"/>
  <c r="AY39" i="19" s="1"/>
  <c r="AW9" i="19" a="1"/>
  <c r="AW9" i="19" s="1"/>
  <c r="AX9" i="19" s="1" a="1"/>
  <c r="AX9" i="19" s="1"/>
  <c r="AY9" i="19" s="1"/>
  <c r="AW5" i="19" a="1"/>
  <c r="AW5" i="19" s="1"/>
  <c r="AX10" i="19" a="1"/>
  <c r="AX10" i="19" s="1"/>
  <c r="AY10" i="19" s="1"/>
  <c r="AV9" i="19" a="1"/>
  <c r="AV9" i="19" s="1"/>
  <c r="AU9" i="19" s="1"/>
  <c r="AV13" i="19" a="1"/>
  <c r="AV13" i="19" s="1"/>
  <c r="AU13" i="19" s="1"/>
  <c r="AV17" i="19" a="1"/>
  <c r="AV17" i="19" s="1"/>
  <c r="AU17" i="19" s="1"/>
  <c r="AV5" i="19" a="1"/>
  <c r="AV5" i="19" s="1"/>
  <c r="AU5" i="19" s="1"/>
  <c r="AX15" i="19" a="1"/>
  <c r="AX15" i="19" s="1"/>
  <c r="AY15" i="19" s="1"/>
  <c r="AW28" i="19" a="1"/>
  <c r="AW28" i="19" s="1"/>
  <c r="AX28" i="19" s="1" a="1"/>
  <c r="AX28" i="19" s="1"/>
  <c r="AY28" i="19" s="1"/>
  <c r="AW18" i="19" a="1"/>
  <c r="AW18" i="19" s="1"/>
  <c r="AX18" i="19" s="1" a="1"/>
  <c r="AX18" i="19" s="1"/>
  <c r="AY18" i="19" s="1"/>
  <c r="AW7" i="19" a="1"/>
  <c r="AW7" i="19" s="1"/>
  <c r="AX7" i="19" s="1" a="1"/>
  <c r="AX7" i="19" s="1"/>
  <c r="AY7" i="19" s="1"/>
  <c r="AW13" i="19" a="1"/>
  <c r="AW13" i="19" s="1"/>
  <c r="AX13" i="19" s="1" a="1"/>
  <c r="AX13" i="19" s="1"/>
  <c r="AY13" i="19" s="1"/>
  <c r="AW55" i="19" a="1"/>
  <c r="AW55" i="19" s="1"/>
  <c r="AW26" i="19" a="1"/>
  <c r="AW26" i="19" s="1"/>
  <c r="AX26" i="19" s="1" a="1"/>
  <c r="AX26" i="19" s="1"/>
  <c r="AY26" i="19" s="1"/>
  <c r="AW50" i="19" a="1"/>
  <c r="AW50" i="19" s="1"/>
  <c r="AX5" i="19" a="1"/>
  <c r="AX5" i="19" s="1"/>
  <c r="AY5" i="19" s="1"/>
  <c r="AX55" i="19" a="1"/>
  <c r="AX55" i="19" s="1"/>
  <c r="AY55" i="19" s="1"/>
  <c r="AW60" i="19" a="1"/>
  <c r="AW60" i="19" s="1"/>
  <c r="AV6" i="19" a="1"/>
  <c r="AV6" i="19" s="1"/>
  <c r="AU6" i="19" s="1"/>
  <c r="AW42" i="19" a="1"/>
  <c r="AW42" i="19" s="1"/>
  <c r="AX42" i="19" s="1" a="1"/>
  <c r="AX42" i="19" s="1"/>
  <c r="AY42" i="19" s="1"/>
  <c r="AW64" i="19" a="1"/>
  <c r="AW64" i="19" s="1"/>
  <c r="AX64" i="19" s="1" a="1"/>
  <c r="AX64" i="19" s="1"/>
  <c r="AY64" i="19" s="1"/>
  <c r="AW38" i="19" a="1"/>
  <c r="AW38" i="19" s="1"/>
  <c r="AX38" i="19" s="1" a="1"/>
  <c r="AX38" i="19" s="1"/>
  <c r="AY38" i="19" s="1"/>
  <c r="AW43" i="19" a="1"/>
  <c r="AW43" i="19" s="1"/>
  <c r="AX43" i="19" s="1" a="1"/>
  <c r="AX43" i="19" s="1"/>
  <c r="AY43" i="19" s="1"/>
  <c r="AW61" i="19" a="1"/>
  <c r="AW61" i="19" s="1"/>
  <c r="AX61" i="19" s="1" a="1"/>
  <c r="AX61" i="19" s="1"/>
  <c r="AY61" i="19" s="1"/>
  <c r="AW49" i="19" a="1"/>
  <c r="AW49" i="19" s="1"/>
  <c r="AX49" i="19" s="1" a="1"/>
  <c r="AX49" i="19" s="1"/>
  <c r="AY49" i="19" s="1"/>
  <c r="AW36" i="19" a="1"/>
  <c r="AW36" i="19" s="1"/>
  <c r="AX36" i="19" s="1" a="1"/>
  <c r="AX36" i="19" s="1"/>
  <c r="AY36" i="19" s="1"/>
  <c r="AW48" i="19" a="1"/>
  <c r="AW48" i="19" s="1"/>
  <c r="AX48" i="19" s="1" a="1"/>
  <c r="AX48" i="19" s="1"/>
  <c r="AY48" i="19" s="1"/>
  <c r="AW25" i="19" a="1"/>
  <c r="AW25" i="19" s="1"/>
  <c r="AW11" i="19" a="1"/>
  <c r="AW11" i="19" s="1"/>
  <c r="AX11" i="19" s="1" a="1"/>
  <c r="AX11" i="19" s="1"/>
  <c r="AY11" i="19" s="1"/>
  <c r="AX25" i="19" a="1"/>
  <c r="AX25" i="19" s="1"/>
  <c r="AY25" i="19" s="1"/>
  <c r="AW15" i="19" a="1"/>
  <c r="AW15" i="19" s="1"/>
  <c r="AW27" i="19" a="1"/>
  <c r="AW27" i="19" s="1"/>
  <c r="AX27" i="19" s="1" a="1"/>
  <c r="AX27" i="19" s="1"/>
  <c r="AY27" i="19" s="1"/>
  <c r="AW10" i="19" a="1"/>
  <c r="AW10" i="19" s="1"/>
  <c r="AW35" i="19" a="1"/>
  <c r="AW35" i="19" s="1"/>
  <c r="AW22" i="19" a="1"/>
  <c r="AW22" i="19" s="1"/>
  <c r="AX22" i="19" s="1" a="1"/>
  <c r="AX22" i="19" s="1"/>
  <c r="AY22" i="19" s="1"/>
  <c r="AW30" i="19" a="1"/>
  <c r="AW30" i="19" s="1"/>
  <c r="AX35" i="19" a="1"/>
  <c r="AX35" i="19" s="1"/>
  <c r="AY35" i="19" s="1"/>
  <c r="AX30" i="19" a="1"/>
  <c r="AX30" i="19" s="1"/>
  <c r="AY30" i="19" s="1"/>
  <c r="AW34" i="19" a="1"/>
  <c r="AW34" i="19" s="1"/>
  <c r="AX34" i="19" s="1" a="1"/>
  <c r="AX34" i="19" s="1"/>
  <c r="AY34" i="19" s="1"/>
  <c r="AW32" i="19" a="1"/>
  <c r="AW32" i="19" s="1"/>
  <c r="AX32" i="19" s="1" a="1"/>
  <c r="AX32" i="19" s="1"/>
  <c r="AY32" i="19" s="1"/>
  <c r="AW46" i="19" a="1"/>
  <c r="AW46" i="19" s="1"/>
  <c r="AX46" i="19" s="1" a="1"/>
  <c r="AX46" i="19" s="1"/>
  <c r="AY46" i="19" s="1"/>
  <c r="AW53" i="19" a="1"/>
  <c r="AW53" i="19" s="1"/>
  <c r="AX53" i="19" s="1" a="1"/>
  <c r="AX53" i="19" s="1"/>
  <c r="AY53" i="19" s="1"/>
  <c r="AW47" i="19" a="1"/>
  <c r="AW47" i="19" s="1"/>
  <c r="AX47" i="19" s="1" a="1"/>
  <c r="AX47" i="19" s="1"/>
  <c r="AY47" i="19" s="1"/>
  <c r="AW58" i="19" a="1"/>
  <c r="AW58" i="19" s="1"/>
  <c r="AX58" i="19" s="1" a="1"/>
  <c r="AX58" i="19" s="1"/>
  <c r="AY58" i="19" s="1"/>
  <c r="AW37" i="19" a="1"/>
  <c r="AW37" i="19" s="1"/>
  <c r="AX37" i="19" s="1" a="1"/>
  <c r="AX37" i="19" s="1"/>
  <c r="AY37" i="19" s="1"/>
  <c r="AW52" i="19" a="1"/>
  <c r="AW52" i="19" s="1"/>
  <c r="AX52" i="19" s="1" a="1"/>
  <c r="AX52" i="19" s="1"/>
  <c r="AY52" i="19" s="1"/>
  <c r="AW71" i="19" a="1"/>
  <c r="AW71" i="19" s="1"/>
  <c r="AX71" i="19" s="1" a="1"/>
  <c r="AX71" i="19" s="1"/>
  <c r="AY71" i="19" s="1"/>
  <c r="AV7" i="19" a="1"/>
  <c r="AV7" i="19" s="1"/>
  <c r="AU7" i="19" s="1"/>
  <c r="AV11" i="19" a="1"/>
  <c r="AV11" i="19" s="1"/>
  <c r="AU11" i="19" s="1"/>
  <c r="AV15" i="19" a="1"/>
  <c r="AV15" i="19" s="1"/>
  <c r="AU15" i="19" s="1"/>
  <c r="AV19" i="19" a="1"/>
  <c r="AV19" i="19" s="1"/>
  <c r="AU19" i="19" s="1"/>
  <c r="AW21" i="19" a="1"/>
  <c r="AW21" i="19" s="1"/>
  <c r="AX21" i="19" s="1" a="1"/>
  <c r="AX21" i="19" s="1"/>
  <c r="AY21" i="19" s="1"/>
  <c r="AW8" i="19" a="1"/>
  <c r="AW8" i="19" s="1"/>
  <c r="AX8" i="19" s="1" a="1"/>
  <c r="AX8" i="19" s="1"/>
  <c r="AY8" i="19" s="1"/>
  <c r="AW24" i="19" a="1"/>
  <c r="AW24" i="19" s="1"/>
  <c r="AX24" i="19" s="1" a="1"/>
  <c r="AX24" i="19" s="1"/>
  <c r="AY24" i="19" s="1"/>
  <c r="AW14" i="19" a="1"/>
  <c r="AW14" i="19" s="1"/>
  <c r="AX14" i="19" s="1" a="1"/>
  <c r="AX14" i="19" s="1"/>
  <c r="AY14" i="19" s="1"/>
  <c r="AW23" i="19" a="1"/>
  <c r="AW23" i="19" s="1"/>
  <c r="AX23" i="19" s="1" a="1"/>
  <c r="AX23" i="19" s="1"/>
  <c r="AY23" i="19" s="1"/>
  <c r="AW6" i="19" a="1"/>
  <c r="AW6" i="19" s="1"/>
  <c r="AX6" i="19" s="1" a="1"/>
  <c r="AX6" i="19" s="1"/>
  <c r="AY6" i="19" s="1"/>
  <c r="AX60" i="19" a="1"/>
  <c r="AX60" i="19" s="1"/>
  <c r="AY60" i="19" s="1"/>
  <c r="AW45" i="19" a="1"/>
  <c r="AW45" i="19" s="1"/>
  <c r="AW20" i="19" a="1"/>
  <c r="AW20" i="19" s="1"/>
  <c r="AW31" i="19" a="1"/>
  <c r="AW31" i="19" s="1"/>
  <c r="AX31" i="19" s="1" a="1"/>
  <c r="AX31" i="19" s="1"/>
  <c r="AY31" i="19" s="1"/>
  <c r="AX70" i="19" a="1"/>
  <c r="AX70" i="19" s="1"/>
  <c r="AY70" i="19" s="1"/>
  <c r="AX50" i="19" a="1"/>
  <c r="AX50" i="19" s="1"/>
  <c r="AY50" i="19" s="1"/>
  <c r="AW54" i="19" a="1"/>
  <c r="AW54" i="19" s="1"/>
  <c r="AX54" i="19" s="1" a="1"/>
  <c r="AX54" i="19" s="1"/>
  <c r="AY54" i="19" s="1"/>
  <c r="AW73" i="19" a="1"/>
  <c r="AW73" i="19" s="1"/>
  <c r="AX73" i="19" s="1" a="1"/>
  <c r="AX73" i="19" s="1"/>
  <c r="AY73" i="19" s="1"/>
  <c r="AW63" i="19" a="1"/>
  <c r="AW63" i="19" s="1"/>
  <c r="AX63" i="19" s="1" a="1"/>
  <c r="AX63" i="19" s="1"/>
  <c r="AY63" i="19" s="1"/>
  <c r="AW74" i="19" a="1"/>
  <c r="AW74" i="19" s="1"/>
  <c r="AX74" i="19" s="1" a="1"/>
  <c r="AX74" i="19" s="1"/>
  <c r="AY74" i="19" s="1"/>
  <c r="AW41" i="19" a="1"/>
  <c r="AW41" i="19" s="1"/>
  <c r="AX41" i="19" s="1" a="1"/>
  <c r="AX41" i="19" s="1"/>
  <c r="AY41" i="19" s="1"/>
  <c r="AW57" i="19" a="1"/>
  <c r="AW57" i="19" s="1"/>
  <c r="AX57" i="19" s="1" a="1"/>
  <c r="AX57" i="19" s="1"/>
  <c r="AY57" i="19" s="1"/>
  <c r="AV8" i="19" a="1"/>
  <c r="AV8" i="19" s="1"/>
  <c r="AU8" i="19" s="1"/>
  <c r="AV12" i="19" a="1"/>
  <c r="AV12" i="19" s="1"/>
  <c r="AU12" i="19" s="1"/>
  <c r="AW19" i="19" a="1"/>
  <c r="AW19" i="19" s="1"/>
  <c r="AX19" i="19" s="1" a="1"/>
  <c r="AX19" i="19" s="1"/>
  <c r="AY19" i="19" s="1"/>
  <c r="AW70" i="19" a="1"/>
  <c r="AW70" i="19" s="1"/>
  <c r="AX40" i="19" a="1"/>
  <c r="AX40" i="19" s="1"/>
  <c r="AY40" i="19" s="1"/>
  <c r="AW40" i="19" a="1"/>
  <c r="AW40" i="19" s="1"/>
  <c r="AW59" i="19" a="1"/>
  <c r="AW59" i="19" s="1"/>
  <c r="AX59" i="19" s="1" a="1"/>
  <c r="AX59" i="19" s="1"/>
  <c r="AY59" i="19" s="1"/>
  <c r="D6" i="19"/>
  <c r="D5" i="19" s="1"/>
  <c r="C5" i="19"/>
  <c r="F33" i="2" a="1"/>
  <c r="F33" i="2" s="1"/>
  <c r="A26" i="2"/>
  <c r="A24" i="2"/>
  <c r="A27" i="2"/>
  <c r="A23" i="2"/>
  <c r="G27" i="6" a="1"/>
  <c r="G27" i="6" s="1"/>
  <c r="H27" i="6" a="1"/>
  <c r="H27" i="6" s="1"/>
  <c r="G26" i="6" a="1"/>
  <c r="G26" i="6" s="1"/>
  <c r="H26" i="6" a="1"/>
  <c r="H26" i="6" s="1"/>
  <c r="G25" i="6" a="1"/>
  <c r="G25" i="6" s="1"/>
  <c r="H25" i="6" a="1"/>
  <c r="H25" i="6" s="1"/>
  <c r="G24" i="6" a="1"/>
  <c r="G24" i="6" s="1"/>
  <c r="H24" i="6" a="1"/>
  <c r="H24" i="6" s="1"/>
  <c r="G23" i="6" a="1"/>
  <c r="G23" i="6" s="1"/>
  <c r="H23" i="6" a="1"/>
  <c r="H23" i="6" s="1"/>
  <c r="I29" i="19" l="1" a="1"/>
  <c r="I29" i="19" s="1"/>
  <c r="H29" i="19" a="1"/>
  <c r="H29" i="19" s="1"/>
  <c r="G29" i="19" a="1"/>
  <c r="G29" i="19" s="1"/>
  <c r="F29" i="19" a="1"/>
  <c r="F29" i="19" s="1"/>
  <c r="E29" i="19" a="1"/>
  <c r="E29" i="19" s="1"/>
  <c r="E6" i="19"/>
  <c r="F17" i="2" a="1"/>
  <c r="F17" i="2" s="1"/>
  <c r="F16" i="2" a="1"/>
  <c r="F16" i="2" s="1"/>
  <c r="F15" i="2" a="1"/>
  <c r="F15" i="2" s="1"/>
  <c r="F14" i="2" a="1"/>
  <c r="F14" i="2" s="1"/>
  <c r="F5" i="2" a="1"/>
  <c r="F5" i="2" s="1"/>
  <c r="F3" i="2" a="1"/>
  <c r="F3" i="2" s="1"/>
  <c r="F4" i="2" a="1"/>
  <c r="F4" i="2" s="1"/>
  <c r="F6" i="2" a="1"/>
  <c r="F6" i="2" s="1"/>
  <c r="F7" i="2" a="1"/>
  <c r="F7" i="2" s="1"/>
  <c r="F8" i="2" a="1"/>
  <c r="F8" i="2" s="1"/>
  <c r="F9" i="2" a="1"/>
  <c r="F9" i="2" s="1"/>
  <c r="F10" i="2" a="1"/>
  <c r="F10" i="2" s="1"/>
  <c r="F11" i="2" a="1"/>
  <c r="F11" i="2" s="1"/>
  <c r="F12" i="2" a="1"/>
  <c r="F12" i="2" s="1"/>
  <c r="F13" i="2" a="1"/>
  <c r="F13" i="2" s="1"/>
  <c r="F2" i="2" a="1"/>
  <c r="F2" i="2" s="1"/>
  <c r="F35" i="2" a="1"/>
  <c r="F35" i="2" s="1"/>
  <c r="F36" i="2" a="1"/>
  <c r="F36" i="2" s="1"/>
  <c r="G5" i="17" a="1"/>
  <c r="G5" i="17" s="1"/>
  <c r="G6" i="17" a="1"/>
  <c r="G6" i="17" s="1"/>
  <c r="G7" i="17" a="1"/>
  <c r="G7" i="17" s="1"/>
  <c r="G8" i="17" a="1"/>
  <c r="G8" i="17" s="1"/>
  <c r="G4" i="17" a="1"/>
  <c r="G4" i="17" s="1"/>
  <c r="G5" i="11" a="1"/>
  <c r="G5" i="11" s="1"/>
  <c r="G6" i="11" a="1"/>
  <c r="G6" i="11" s="1"/>
  <c r="G7" i="11" a="1"/>
  <c r="G7" i="11" s="1"/>
  <c r="G4" i="11" a="1"/>
  <c r="G4" i="11" s="1"/>
  <c r="G5" i="10" a="1"/>
  <c r="G5" i="10" s="1"/>
  <c r="G6" i="10" a="1"/>
  <c r="G6" i="10" s="1"/>
  <c r="G7" i="10" a="1"/>
  <c r="G7" i="10" s="1"/>
  <c r="G8" i="10" a="1"/>
  <c r="G8" i="10" s="1"/>
  <c r="G9" i="10" a="1"/>
  <c r="G9" i="10" s="1"/>
  <c r="G10" i="10" a="1"/>
  <c r="G10" i="10" s="1"/>
  <c r="G11" i="10" a="1"/>
  <c r="G11" i="10" s="1"/>
  <c r="G12" i="10" a="1"/>
  <c r="G12" i="10" s="1"/>
  <c r="G13" i="10" a="1"/>
  <c r="G13" i="10" s="1"/>
  <c r="G14" i="10" a="1"/>
  <c r="G14" i="10" s="1"/>
  <c r="G15" i="10" a="1"/>
  <c r="G15" i="10" s="1"/>
  <c r="G16" i="10" a="1"/>
  <c r="G16" i="10" s="1"/>
  <c r="G17" i="10" a="1"/>
  <c r="G17" i="10" s="1"/>
  <c r="G18" i="10" a="1"/>
  <c r="G18" i="10" s="1"/>
  <c r="G19" i="10" a="1"/>
  <c r="G19" i="10" s="1"/>
  <c r="G20" i="10" a="1"/>
  <c r="G20" i="10" s="1"/>
  <c r="G21" i="10" a="1"/>
  <c r="G21" i="10" s="1"/>
  <c r="G22" i="10" a="1"/>
  <c r="G22" i="10" s="1"/>
  <c r="G23" i="10" a="1"/>
  <c r="G23" i="10" s="1"/>
  <c r="G24" i="10" a="1"/>
  <c r="G24" i="10" s="1"/>
  <c r="G25" i="10" a="1"/>
  <c r="G25" i="10" s="1"/>
  <c r="G4" i="10" a="1"/>
  <c r="G4" i="10" s="1"/>
  <c r="G5" i="9" a="1"/>
  <c r="G5" i="9" s="1"/>
  <c r="G6" i="9" a="1"/>
  <c r="G6" i="9" s="1"/>
  <c r="G7" i="9" a="1"/>
  <c r="G7" i="9" s="1"/>
  <c r="G8" i="9" a="1"/>
  <c r="G8" i="9" s="1"/>
  <c r="G9" i="9" a="1"/>
  <c r="G9" i="9" s="1"/>
  <c r="G10" i="9" a="1"/>
  <c r="G10" i="9" s="1"/>
  <c r="G11" i="9" a="1"/>
  <c r="G11" i="9" s="1"/>
  <c r="G12" i="9" a="1"/>
  <c r="G12" i="9" s="1"/>
  <c r="G13" i="9" a="1"/>
  <c r="G13" i="9" s="1"/>
  <c r="G14" i="9" a="1"/>
  <c r="G14" i="9" s="1"/>
  <c r="G4" i="9" a="1"/>
  <c r="G4" i="9" s="1"/>
  <c r="G5" i="8" a="1"/>
  <c r="G5" i="8" s="1"/>
  <c r="G6" i="8" a="1"/>
  <c r="G6" i="8" s="1"/>
  <c r="G7" i="8" a="1"/>
  <c r="G7" i="8" s="1"/>
  <c r="G8" i="8" a="1"/>
  <c r="G8" i="8" s="1"/>
  <c r="G9" i="8" a="1"/>
  <c r="G9" i="8" s="1"/>
  <c r="G10" i="8" a="1"/>
  <c r="G10" i="8" s="1"/>
  <c r="G11" i="8" a="1"/>
  <c r="G11" i="8" s="1"/>
  <c r="G12" i="8" a="1"/>
  <c r="G12" i="8" s="1"/>
  <c r="G4" i="8" a="1"/>
  <c r="G4" i="8" s="1"/>
  <c r="H5" i="8" a="1"/>
  <c r="H5" i="8" s="1"/>
  <c r="H6" i="8" a="1"/>
  <c r="H6" i="8" s="1"/>
  <c r="H7" i="8" a="1"/>
  <c r="H7" i="8" s="1"/>
  <c r="H8" i="8" a="1"/>
  <c r="H8" i="8" s="1"/>
  <c r="H9" i="8" a="1"/>
  <c r="H9" i="8" s="1"/>
  <c r="H10" i="8" a="1"/>
  <c r="H10" i="8" s="1"/>
  <c r="H11" i="8" a="1"/>
  <c r="H11" i="8" s="1"/>
  <c r="H12" i="8" a="1"/>
  <c r="H12" i="8" s="1"/>
  <c r="G5" i="7" a="1"/>
  <c r="G5" i="7" s="1"/>
  <c r="G6" i="7" a="1"/>
  <c r="G6" i="7" s="1"/>
  <c r="G7" i="7" a="1"/>
  <c r="G7" i="7" s="1"/>
  <c r="G4" i="7" a="1"/>
  <c r="G4" i="7" s="1"/>
  <c r="G5" i="6" a="1"/>
  <c r="G5" i="6" s="1"/>
  <c r="G6" i="6" a="1"/>
  <c r="G6" i="6" s="1"/>
  <c r="G7" i="6" a="1"/>
  <c r="G7" i="6" s="1"/>
  <c r="G8" i="6" a="1"/>
  <c r="G8" i="6" s="1"/>
  <c r="G9" i="6" a="1"/>
  <c r="G9" i="6" s="1"/>
  <c r="G10" i="6" a="1"/>
  <c r="G10" i="6" s="1"/>
  <c r="G11" i="6" a="1"/>
  <c r="G11" i="6" s="1"/>
  <c r="G12" i="6" a="1"/>
  <c r="G12" i="6" s="1"/>
  <c r="G13" i="6" a="1"/>
  <c r="G13" i="6" s="1"/>
  <c r="G14" i="6" a="1"/>
  <c r="G14" i="6" s="1"/>
  <c r="G15" i="6" a="1"/>
  <c r="G15" i="6" s="1"/>
  <c r="G16" i="6" a="1"/>
  <c r="G16" i="6" s="1"/>
  <c r="G17" i="6" a="1"/>
  <c r="G17" i="6" s="1"/>
  <c r="G18" i="6" a="1"/>
  <c r="G18" i="6" s="1"/>
  <c r="G19" i="6" a="1"/>
  <c r="G19" i="6" s="1"/>
  <c r="G20" i="6" a="1"/>
  <c r="G20" i="6" s="1"/>
  <c r="G21" i="6" a="1"/>
  <c r="G21" i="6" s="1"/>
  <c r="G22" i="6" a="1"/>
  <c r="G22" i="6" s="1"/>
  <c r="G4" i="6" a="1"/>
  <c r="G4" i="6" s="1"/>
  <c r="G5" i="4" a="1"/>
  <c r="G5" i="4" s="1"/>
  <c r="G6" i="4" a="1"/>
  <c r="G6" i="4" s="1"/>
  <c r="G7" i="4" a="1"/>
  <c r="G7" i="4" s="1"/>
  <c r="G8" i="4" a="1"/>
  <c r="G8" i="4"/>
  <c r="G9" i="4" a="1"/>
  <c r="G9" i="4" s="1"/>
  <c r="G10" i="4" a="1"/>
  <c r="G10" i="4" s="1"/>
  <c r="G11" i="4" a="1"/>
  <c r="G11" i="4" s="1"/>
  <c r="G4" i="4" a="1"/>
  <c r="G4" i="4" s="1"/>
  <c r="H5" i="4" a="1"/>
  <c r="H5" i="4" s="1"/>
  <c r="H6" i="4" a="1"/>
  <c r="H6" i="4" s="1"/>
  <c r="H7" i="4" a="1"/>
  <c r="H7" i="4" s="1"/>
  <c r="H8" i="4" a="1"/>
  <c r="H8" i="4" s="1"/>
  <c r="H9" i="4" a="1"/>
  <c r="H9" i="4" s="1"/>
  <c r="H10" i="4" a="1"/>
  <c r="H10" i="4" s="1"/>
  <c r="H11" i="4" a="1"/>
  <c r="H11" i="4" s="1"/>
  <c r="H4" i="4" a="1"/>
  <c r="H4" i="4" s="1"/>
  <c r="H5" i="6" a="1"/>
  <c r="H5" i="6" s="1"/>
  <c r="H6" i="6" a="1"/>
  <c r="H6" i="6" s="1"/>
  <c r="H7" i="6" a="1"/>
  <c r="H7" i="6" s="1"/>
  <c r="H8" i="6" a="1"/>
  <c r="H8" i="6" s="1"/>
  <c r="H9" i="6" a="1"/>
  <c r="H9" i="6" s="1"/>
  <c r="H10" i="6" a="1"/>
  <c r="H10" i="6" s="1"/>
  <c r="H11" i="6" a="1"/>
  <c r="H11" i="6" s="1"/>
  <c r="H12" i="6" a="1"/>
  <c r="H12" i="6" s="1"/>
  <c r="H13" i="6" a="1"/>
  <c r="H13" i="6" s="1"/>
  <c r="H14" i="6" a="1"/>
  <c r="H14" i="6" s="1"/>
  <c r="H15" i="6" a="1"/>
  <c r="H15" i="6" s="1"/>
  <c r="H16" i="6" a="1"/>
  <c r="H16" i="6" s="1"/>
  <c r="H17" i="6" a="1"/>
  <c r="H17" i="6" s="1"/>
  <c r="H18" i="6" a="1"/>
  <c r="H18" i="6" s="1"/>
  <c r="H19" i="6" a="1"/>
  <c r="H19" i="6" s="1"/>
  <c r="H20" i="6" a="1"/>
  <c r="H20" i="6" s="1"/>
  <c r="H21" i="6" a="1"/>
  <c r="H21" i="6" s="1"/>
  <c r="H22" i="6" a="1"/>
  <c r="H22" i="6" s="1"/>
  <c r="H4" i="6" a="1"/>
  <c r="H4" i="6" s="1"/>
  <c r="H4" i="8" a="1"/>
  <c r="H4" i="8" s="1"/>
  <c r="H4" i="7" a="1"/>
  <c r="H4" i="7" s="1"/>
  <c r="H5" i="7" a="1"/>
  <c r="H5" i="7" s="1"/>
  <c r="H6" i="7" a="1"/>
  <c r="H6" i="7" s="1"/>
  <c r="H7" i="7" a="1"/>
  <c r="H7" i="7" s="1"/>
  <c r="H5" i="17" a="1"/>
  <c r="H5" i="17" s="1"/>
  <c r="H6" i="17" a="1"/>
  <c r="H6" i="17" s="1"/>
  <c r="H7" i="17" a="1"/>
  <c r="H7" i="17" s="1"/>
  <c r="H8" i="17" a="1"/>
  <c r="H8" i="17" s="1"/>
  <c r="H4" i="17" a="1"/>
  <c r="H4" i="17" s="1"/>
  <c r="H5" i="11" a="1"/>
  <c r="H5" i="11" s="1"/>
  <c r="H6" i="11" a="1"/>
  <c r="H6" i="11" s="1"/>
  <c r="H7" i="11" a="1"/>
  <c r="H7" i="11" s="1"/>
  <c r="H4" i="11" a="1"/>
  <c r="H4" i="11" s="1"/>
  <c r="H5" i="10" a="1"/>
  <c r="H5" i="10" s="1"/>
  <c r="H6" i="10" a="1"/>
  <c r="H6" i="10" s="1"/>
  <c r="H7" i="10" a="1"/>
  <c r="H7" i="10" s="1"/>
  <c r="H8" i="10" a="1"/>
  <c r="H8" i="10" s="1"/>
  <c r="H9" i="10" a="1"/>
  <c r="H9" i="10" s="1"/>
  <c r="H10" i="10" a="1"/>
  <c r="H10" i="10" s="1"/>
  <c r="H11" i="10" a="1"/>
  <c r="H11" i="10" s="1"/>
  <c r="H12" i="10" a="1"/>
  <c r="H12" i="10" s="1"/>
  <c r="H13" i="10" a="1"/>
  <c r="H13" i="10" s="1"/>
  <c r="H14" i="10" a="1"/>
  <c r="H14" i="10" s="1"/>
  <c r="H15" i="10" a="1"/>
  <c r="H15" i="10" s="1"/>
  <c r="H16" i="10" a="1"/>
  <c r="H16" i="10" s="1"/>
  <c r="H17" i="10" a="1"/>
  <c r="H17" i="10" s="1"/>
  <c r="H18" i="10" a="1"/>
  <c r="H18" i="10" s="1"/>
  <c r="H19" i="10" a="1"/>
  <c r="H19" i="10" s="1"/>
  <c r="H20" i="10" a="1"/>
  <c r="H20" i="10" s="1"/>
  <c r="H21" i="10" a="1"/>
  <c r="H21" i="10" s="1"/>
  <c r="H22" i="10" a="1"/>
  <c r="H22" i="10" s="1"/>
  <c r="H23" i="10" a="1"/>
  <c r="H23" i="10" s="1"/>
  <c r="H24" i="10" a="1"/>
  <c r="H24" i="10" s="1"/>
  <c r="H25" i="10" a="1"/>
  <c r="H25" i="10" s="1"/>
  <c r="H4" i="10" a="1"/>
  <c r="H4" i="10" s="1"/>
  <c r="H5" i="9" a="1"/>
  <c r="H5" i="9" s="1"/>
  <c r="H6" i="9" a="1"/>
  <c r="H6" i="9" s="1"/>
  <c r="H7" i="9" a="1"/>
  <c r="H7" i="9" s="1"/>
  <c r="H8" i="9" a="1"/>
  <c r="H8" i="9" s="1"/>
  <c r="H9" i="9" a="1"/>
  <c r="H9" i="9" s="1"/>
  <c r="H10" i="9" a="1"/>
  <c r="H10" i="9" s="1"/>
  <c r="H11" i="9" a="1"/>
  <c r="H11" i="9" s="1"/>
  <c r="H12" i="9" a="1"/>
  <c r="H12" i="9" s="1"/>
  <c r="H13" i="9" a="1"/>
  <c r="H13" i="9" s="1"/>
  <c r="H14" i="9" a="1"/>
  <c r="H14" i="9" s="1"/>
  <c r="H4" i="9" a="1"/>
  <c r="H4" i="9" s="1"/>
  <c r="F6" i="19" l="1"/>
  <c r="E5" i="19"/>
  <c r="A17" i="2"/>
  <c r="A16" i="2"/>
  <c r="A15" i="2"/>
  <c r="A14" i="2"/>
  <c r="A13" i="2"/>
  <c r="A12" i="2"/>
  <c r="A11" i="2"/>
  <c r="A10" i="2"/>
  <c r="A9" i="2"/>
  <c r="A8" i="2"/>
  <c r="A7" i="2"/>
  <c r="A6" i="2"/>
  <c r="A5" i="2"/>
  <c r="A4" i="2"/>
  <c r="A3" i="2"/>
  <c r="A2" i="2"/>
  <c r="G6" i="19" l="1"/>
  <c r="F5" i="19"/>
  <c r="A1" i="18" a="1"/>
  <c r="A1" i="18" s="1"/>
  <c r="A1" i="17" a="1"/>
  <c r="A1" i="17" s="1"/>
  <c r="A1" i="16" a="1"/>
  <c r="A1" i="16" s="1"/>
  <c r="A1" i="15" a="1"/>
  <c r="A1" i="15" s="1"/>
  <c r="A1" i="14" a="1"/>
  <c r="A1" i="14" s="1"/>
  <c r="A1" i="13" a="1"/>
  <c r="A1" i="13" s="1"/>
  <c r="D33" i="2" s="1" a="1"/>
  <c r="D33" i="2" s="1"/>
  <c r="A1" i="12" a="1"/>
  <c r="A1" i="12" s="1"/>
  <c r="A1" i="11" a="1"/>
  <c r="A1" i="11" s="1"/>
  <c r="A1" i="10" a="1"/>
  <c r="A1" i="10" s="1"/>
  <c r="A1" i="9" a="1"/>
  <c r="A1" i="9" s="1"/>
  <c r="A1" i="8" a="1"/>
  <c r="A1" i="8" s="1"/>
  <c r="A1" i="7" a="1"/>
  <c r="A1" i="7" s="1"/>
  <c r="A1" i="6" a="1"/>
  <c r="A1" i="6" s="1"/>
  <c r="A1" i="5" a="1"/>
  <c r="A1" i="5" s="1"/>
  <c r="A1" i="4" a="1"/>
  <c r="A1" i="4" s="1"/>
  <c r="A1" i="3" a="1"/>
  <c r="A1" i="3" s="1"/>
  <c r="H6" i="19" l="1"/>
  <c r="G5" i="19"/>
  <c r="M3" i="18"/>
  <c r="L3" i="18"/>
  <c r="K3" i="18"/>
  <c r="J3" i="18"/>
  <c r="N3" i="17"/>
  <c r="M3" i="17"/>
  <c r="L3" i="17"/>
  <c r="K3" i="17"/>
  <c r="M3" i="16"/>
  <c r="L3" i="16"/>
  <c r="K3" i="16"/>
  <c r="J3" i="16"/>
  <c r="M3" i="15"/>
  <c r="L3" i="15"/>
  <c r="K3" i="15"/>
  <c r="J3" i="15"/>
  <c r="M3" i="14"/>
  <c r="L3" i="14"/>
  <c r="K3" i="14"/>
  <c r="J3" i="14"/>
  <c r="M3" i="13"/>
  <c r="L3" i="13"/>
  <c r="K3" i="13"/>
  <c r="J3" i="13"/>
  <c r="M3" i="12"/>
  <c r="L3" i="12"/>
  <c r="K3" i="12"/>
  <c r="J3" i="12"/>
  <c r="N3" i="11"/>
  <c r="M3" i="11"/>
  <c r="L3" i="11"/>
  <c r="K3" i="11"/>
  <c r="N3" i="10"/>
  <c r="M3" i="10"/>
  <c r="L3" i="10"/>
  <c r="K3" i="10"/>
  <c r="N3" i="9"/>
  <c r="M3" i="9"/>
  <c r="L3" i="9"/>
  <c r="K3" i="9"/>
  <c r="N3" i="8"/>
  <c r="M3" i="8"/>
  <c r="L3" i="8"/>
  <c r="K3" i="8"/>
  <c r="N3" i="7"/>
  <c r="M3" i="7"/>
  <c r="L3" i="7"/>
  <c r="K3" i="7"/>
  <c r="N3" i="6"/>
  <c r="M3" i="6"/>
  <c r="L3" i="6"/>
  <c r="K3" i="6"/>
  <c r="M3" i="5"/>
  <c r="L3" i="5"/>
  <c r="K3" i="5"/>
  <c r="J3" i="5"/>
  <c r="N3" i="4"/>
  <c r="M3" i="4"/>
  <c r="L3" i="4"/>
  <c r="K3" i="4"/>
  <c r="J3" i="3"/>
  <c r="L3" i="3"/>
  <c r="M3" i="3"/>
  <c r="K3" i="3"/>
  <c r="H28" i="2"/>
  <c r="I27" i="2"/>
  <c r="H27" i="2"/>
  <c r="I26" i="2"/>
  <c r="G26" i="2"/>
  <c r="K25" i="2"/>
  <c r="J25" i="2"/>
  <c r="I25" i="2"/>
  <c r="H25" i="2"/>
  <c r="G25" i="2"/>
  <c r="F25" i="2"/>
  <c r="F23" i="2"/>
  <c r="F20" i="2"/>
  <c r="F19" i="2"/>
  <c r="O17" i="2" a="1"/>
  <c r="O17" i="2" s="1"/>
  <c r="C17" i="2"/>
  <c r="D1" i="18" s="1"/>
  <c r="O16" i="2" a="1"/>
  <c r="O16" i="2" s="1"/>
  <c r="C16" i="2"/>
  <c r="O15" i="2" a="1"/>
  <c r="O15" i="2" s="1"/>
  <c r="C15" i="2"/>
  <c r="O14" i="2" a="1"/>
  <c r="O14" i="2" s="1"/>
  <c r="C14" i="2"/>
  <c r="C13" i="2"/>
  <c r="C12" i="2"/>
  <c r="O11" i="2" a="1"/>
  <c r="O11" i="2" s="1"/>
  <c r="C11" i="2"/>
  <c r="O10" i="2" a="1"/>
  <c r="O10" i="2" s="1"/>
  <c r="C10" i="2"/>
  <c r="O9" i="2" a="1"/>
  <c r="O9" i="2" s="1"/>
  <c r="C9" i="2"/>
  <c r="O8" i="2" a="1"/>
  <c r="O8" i="2" s="1"/>
  <c r="C8" i="2"/>
  <c r="O7" i="2" a="1"/>
  <c r="O7" i="2" s="1"/>
  <c r="C7" i="2"/>
  <c r="O6" i="2" a="1"/>
  <c r="O6" i="2" s="1"/>
  <c r="M6" i="2"/>
  <c r="L6" i="2"/>
  <c r="O5" i="2" a="1"/>
  <c r="O5" i="2" s="1"/>
  <c r="C5" i="2"/>
  <c r="O4" i="2" a="1"/>
  <c r="O4" i="2" s="1"/>
  <c r="C4" i="2"/>
  <c r="O3" i="2" a="1"/>
  <c r="O3" i="2" s="1"/>
  <c r="C3" i="2"/>
  <c r="O2" i="2" a="1"/>
  <c r="O2" i="2" s="1"/>
  <c r="C2" i="2"/>
  <c r="C31" i="19" l="1"/>
  <c r="C33" i="19" s="1"/>
  <c r="I6" i="19"/>
  <c r="H5" i="19"/>
  <c r="D1" i="17"/>
  <c r="D1" i="16"/>
  <c r="D1" i="15"/>
  <c r="D1" i="14"/>
  <c r="D1" i="13"/>
  <c r="D1" i="12"/>
  <c r="D1" i="11"/>
  <c r="D1" i="10"/>
  <c r="D1" i="9"/>
  <c r="D1" i="8"/>
  <c r="D1" i="6"/>
  <c r="D1" i="5"/>
  <c r="D1" i="4"/>
  <c r="D1" i="3"/>
  <c r="C6" i="2"/>
  <c r="C10" i="19" l="1"/>
  <c r="B10" i="19" s="1"/>
  <c r="I5" i="19"/>
  <c r="D1" i="7"/>
  <c r="D10" i="19" l="1"/>
  <c r="C9" i="19"/>
  <c r="E10" i="19" l="1"/>
  <c r="D9" i="19"/>
  <c r="F10" i="19" l="1"/>
  <c r="E9" i="19"/>
  <c r="G10" i="19" l="1"/>
  <c r="F9" i="19"/>
  <c r="H10" i="19" l="1"/>
  <c r="G9" i="19"/>
  <c r="I10" i="19" l="1"/>
  <c r="H9" i="19"/>
  <c r="C14" i="19" l="1"/>
  <c r="B14" i="19" s="1"/>
  <c r="I9" i="19"/>
  <c r="D14" i="19" l="1"/>
  <c r="C13" i="19"/>
  <c r="E14" i="19" l="1"/>
  <c r="D13" i="19"/>
  <c r="F14" i="19" l="1"/>
  <c r="E13" i="19"/>
  <c r="G14" i="19" l="1"/>
  <c r="F13" i="19"/>
  <c r="H14" i="19" l="1"/>
  <c r="G13" i="19"/>
  <c r="I14" i="19" l="1"/>
  <c r="H13" i="19"/>
  <c r="C18" i="19" l="1"/>
  <c r="B18" i="19" s="1"/>
  <c r="I13" i="19"/>
  <c r="D18" i="19" l="1"/>
  <c r="C17" i="19"/>
  <c r="E18" i="19" l="1"/>
  <c r="D17" i="19"/>
  <c r="F18" i="19" l="1"/>
  <c r="E17" i="19"/>
  <c r="G18" i="19" l="1"/>
  <c r="F17" i="19"/>
  <c r="H18" i="19" l="1"/>
  <c r="G17" i="19"/>
  <c r="I18" i="19" l="1"/>
  <c r="H17" i="19"/>
  <c r="C22" i="19" l="1"/>
  <c r="B22" i="19" s="1"/>
  <c r="I17" i="19"/>
  <c r="D22" i="19" l="1"/>
  <c r="C21" i="19"/>
  <c r="E22" i="19" l="1" a="1"/>
  <c r="E22" i="19" s="1"/>
  <c r="D21" i="19"/>
  <c r="E21" i="19" l="1"/>
  <c r="L7" i="19" l="1" a="1"/>
  <c r="L7" i="19" s="1"/>
  <c r="K7" i="19" a="1"/>
  <c r="K7" i="19" s="1"/>
  <c r="K25" i="19" a="1"/>
  <c r="K25" i="19" s="1"/>
  <c r="L24" i="19" a="1"/>
  <c r="L24" i="19" s="1"/>
  <c r="L25" i="19" a="1"/>
  <c r="L25" i="19" s="1"/>
  <c r="K35" i="19" a="1"/>
  <c r="K35" i="19" s="1"/>
  <c r="K28" i="19" a="1"/>
  <c r="K28" i="19" s="1"/>
  <c r="L9" i="19" a="1"/>
  <c r="L9" i="19" s="1"/>
  <c r="L13" i="19" a="1"/>
  <c r="L13" i="19" s="1"/>
  <c r="L8" i="19" a="1"/>
  <c r="L8" i="19" s="1"/>
  <c r="L11" i="19" a="1"/>
  <c r="L11" i="19" s="1"/>
  <c r="K12" i="19" a="1"/>
  <c r="K12" i="19" s="1"/>
  <c r="K21" i="19" a="1"/>
  <c r="K21" i="19" s="1"/>
  <c r="L16" i="19" a="1"/>
  <c r="L16" i="19" s="1"/>
  <c r="L17" i="19" a="1"/>
  <c r="L17" i="19" s="1"/>
  <c r="K31" i="19" a="1"/>
  <c r="K31" i="19" s="1"/>
  <c r="L32" i="19" a="1"/>
  <c r="L32" i="19" s="1"/>
  <c r="K13" i="19" a="1"/>
  <c r="K13" i="19" s="1"/>
  <c r="L23" i="19" a="1"/>
  <c r="L23" i="19" s="1"/>
  <c r="K23" i="19" a="1"/>
  <c r="K23" i="19" s="1"/>
  <c r="L18" i="19" a="1"/>
  <c r="L18" i="19" s="1"/>
  <c r="L30" i="19" a="1"/>
  <c r="L30" i="19" s="1"/>
  <c r="K30" i="19" a="1"/>
  <c r="K30" i="19" s="1"/>
  <c r="K32" i="19" a="1"/>
  <c r="K32" i="19" s="1"/>
  <c r="K11" i="19" a="1"/>
  <c r="K11" i="19" s="1"/>
  <c r="K20" i="19" a="1"/>
  <c r="K20" i="19" s="1"/>
  <c r="K18" i="19" a="1"/>
  <c r="K18" i="19" s="1"/>
  <c r="L28" i="19" a="1"/>
  <c r="L28" i="19" s="1"/>
  <c r="L31" i="19" a="1"/>
  <c r="L31" i="19" s="1"/>
  <c r="K33" i="19" a="1"/>
  <c r="K33" i="19" s="1"/>
  <c r="K14" i="19" a="1"/>
  <c r="K14" i="19" s="1"/>
  <c r="K5" i="19"/>
  <c r="K16" i="19" a="1"/>
  <c r="K16" i="19" s="1"/>
  <c r="L26" i="19" a="1"/>
  <c r="L26" i="19" s="1"/>
  <c r="L35" i="19" a="1"/>
  <c r="L35" i="19" s="1"/>
  <c r="L10" i="19" a="1"/>
  <c r="L10" i="19" s="1"/>
  <c r="L14" i="19" a="1"/>
  <c r="L14" i="19" s="1"/>
  <c r="L27" i="19" a="1"/>
  <c r="L27" i="19" s="1"/>
  <c r="L21" i="19" a="1"/>
  <c r="L21" i="19" s="1"/>
  <c r="K22" i="19" a="1"/>
  <c r="K22" i="19" s="1"/>
  <c r="L33" i="19" a="1"/>
  <c r="L33" i="19" s="1"/>
  <c r="K17" i="19" a="1"/>
  <c r="K17" i="19" s="1"/>
  <c r="K19" i="19" a="1"/>
  <c r="K19" i="19" s="1"/>
  <c r="L29" i="19" a="1"/>
  <c r="L29" i="19" s="1"/>
  <c r="L20" i="19" a="1"/>
  <c r="L20" i="19" s="1"/>
  <c r="K29" i="19" a="1"/>
  <c r="K29" i="19" s="1"/>
  <c r="L15" i="19" a="1"/>
  <c r="L15" i="19" s="1"/>
  <c r="L12" i="19" a="1"/>
  <c r="L12" i="19" s="1"/>
  <c r="K10" i="19" a="1"/>
  <c r="K10" i="19" s="1"/>
  <c r="L22" i="19" a="1"/>
  <c r="L22" i="19" s="1"/>
  <c r="K34" i="19" a="1"/>
  <c r="K34" i="19" s="1"/>
  <c r="K8" i="19" a="1"/>
  <c r="K8" i="19" s="1"/>
  <c r="K26" i="19" a="1"/>
  <c r="K26" i="19" s="1"/>
  <c r="K27" i="19" a="1"/>
  <c r="K27" i="19" s="1"/>
  <c r="K9" i="19" a="1"/>
  <c r="K9" i="19" s="1"/>
  <c r="K36" i="19" a="1"/>
  <c r="K36" i="19" s="1"/>
  <c r="L36" i="19" a="1"/>
  <c r="L36" i="19" s="1"/>
  <c r="L19" i="19" a="1"/>
  <c r="L19" i="19" s="1"/>
  <c r="L34" i="19" a="1"/>
  <c r="L34" i="19" s="1"/>
  <c r="K24" i="19" a="1"/>
  <c r="K24" i="19" s="1"/>
  <c r="K15" i="19" a="1"/>
  <c r="K15" i="19" s="1"/>
  <c r="C23" i="19" l="1" a="1"/>
  <c r="C23" i="19" s="1"/>
  <c r="H19" i="19" a="1"/>
  <c r="H19" i="19" s="1"/>
  <c r="F19" i="19" a="1"/>
  <c r="F19" i="19" s="1"/>
  <c r="D19" i="19" a="1"/>
  <c r="D19" i="19" s="1"/>
  <c r="I15" i="19" a="1"/>
  <c r="I15" i="19" s="1"/>
  <c r="G15" i="19" a="1"/>
  <c r="G15" i="19" s="1"/>
  <c r="E15" i="19" a="1"/>
  <c r="E15" i="19" s="1"/>
  <c r="C15" i="19" a="1"/>
  <c r="C15" i="19" s="1"/>
  <c r="H11" i="19" a="1"/>
  <c r="H11" i="19" s="1"/>
  <c r="F11" i="19" a="1"/>
  <c r="F11" i="19" s="1"/>
  <c r="D11" i="19" a="1"/>
  <c r="D11" i="19" s="1"/>
  <c r="I7" i="19" a="1"/>
  <c r="I7" i="19" s="1"/>
  <c r="G7" i="19" a="1"/>
  <c r="G7" i="19" s="1"/>
  <c r="E7" i="19" a="1"/>
  <c r="E7" i="19" s="1"/>
  <c r="C7" i="19" a="1"/>
  <c r="C7" i="19" s="1"/>
  <c r="C11" i="19" a="1"/>
  <c r="C11" i="19" s="1"/>
  <c r="F7" i="19" a="1"/>
  <c r="F7" i="19" s="1"/>
  <c r="E23" i="19" a="1"/>
  <c r="E23" i="19" s="1"/>
  <c r="D23" i="19" a="1"/>
  <c r="D23" i="19" s="1"/>
  <c r="I19" i="19" a="1"/>
  <c r="I19" i="19" s="1"/>
  <c r="G19" i="19" a="1"/>
  <c r="G19" i="19" s="1"/>
  <c r="E19" i="19" a="1"/>
  <c r="E19" i="19" s="1"/>
  <c r="C19" i="19" a="1"/>
  <c r="C19" i="19" s="1"/>
  <c r="H15" i="19" a="1"/>
  <c r="H15" i="19" s="1"/>
  <c r="F15" i="19" a="1"/>
  <c r="F15" i="19" s="1"/>
  <c r="D15" i="19" a="1"/>
  <c r="D15" i="19" s="1"/>
  <c r="I11" i="19" a="1"/>
  <c r="I11" i="19" s="1"/>
  <c r="G11" i="19" a="1"/>
  <c r="G11" i="19" s="1"/>
  <c r="E11" i="19" a="1"/>
  <c r="E11" i="19" s="1"/>
  <c r="H7" i="19" a="1"/>
  <c r="H7" i="19" s="1"/>
  <c r="D7" i="19" a="1"/>
  <c r="D7" i="19"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Jazereel Lydia Goh Reiko</author>
  </authors>
  <commentList>
    <comment ref="R2" authorId="0" shapeId="0" xr:uid="{7F6BEAEB-C632-4CFE-A63C-E4A2BEB8776E}">
      <text>
        <r>
          <rPr>
            <b/>
            <sz val="9"/>
            <color indexed="81"/>
            <rFont val="Tahoma"/>
            <family val="2"/>
          </rPr>
          <t>Start of DST: 14 March 2021
End of DST: 7 November 2021
DST TIMINGS:
OPEN: 21:30
CLOSE: 04:00
NON DST TIMINGS:
OPEN: 22:30
CLOSE: 05:00</t>
        </r>
      </text>
    </comment>
    <comment ref="R3" authorId="0" shapeId="0" xr:uid="{6C43E18A-B0DB-4CC1-8054-D7D1B789EDCE}">
      <text>
        <r>
          <rPr>
            <b/>
            <sz val="9"/>
            <color indexed="81"/>
            <rFont val="Tahoma"/>
            <family val="2"/>
          </rPr>
          <t>End of DST: 5 April 2021
Start of DST: 3 Oct 2021
DST TIMINGS: (GMT +9)
OPEN: 07:00
CLOSE: 13:00
NON DST TIMINGS: (GMT +10)
OPEN: 08:00
CLOSE: 14:00</t>
        </r>
      </text>
    </comment>
    <comment ref="R8" authorId="0" shapeId="0" xr:uid="{8A53052A-56A0-44B5-8A78-C6CBB291A49C}">
      <text>
        <r>
          <rPr>
            <b/>
            <sz val="9"/>
            <color indexed="81"/>
            <rFont val="Tahoma"/>
            <family val="2"/>
          </rPr>
          <t>Start of DST: 14 March 2021
End of DST: 7 November 2021
DST TIMINGS:
OPEN: 21:30
CLOSE: 04:00
NON DST TIMINGS:
OPEN: 22:30
CLOSE: 05:00</t>
        </r>
      </text>
    </comment>
    <comment ref="R9" authorId="0" shapeId="0" xr:uid="{9D99387D-BBE4-4397-A648-7459398F9AF0}">
      <text>
        <r>
          <rPr>
            <b/>
            <sz val="9"/>
            <color indexed="81"/>
            <rFont val="Tahoma"/>
            <family val="2"/>
          </rPr>
          <t>Start of DST: 14 March 2021
End of DST: 7 November 2021
DST TIMINGS:
OPEN: 21:30
CLOSE: 04:00
NON DST TIMINGS:
OPEN: 22:30
CLOSE: 05:00</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13">
    <bk>
      <extLst>
        <ext uri="{3e2802c4-a4d2-4d8b-9148-e3be6c30e623}">
          <xlrd:rvb i="0"/>
        </ext>
      </extLst>
    </bk>
    <bk>
      <extLst>
        <ext uri="{3e2802c4-a4d2-4d8b-9148-e3be6c30e623}">
          <xlrd:rvb i="106"/>
        </ext>
      </extLst>
    </bk>
    <bk>
      <extLst>
        <ext uri="{3e2802c4-a4d2-4d8b-9148-e3be6c30e623}">
          <xlrd:rvb i="107"/>
        </ext>
      </extLst>
    </bk>
    <bk>
      <extLst>
        <ext uri="{3e2802c4-a4d2-4d8b-9148-e3be6c30e623}">
          <xlrd:rvb i="169"/>
        </ext>
      </extLst>
    </bk>
    <bk>
      <extLst>
        <ext uri="{3e2802c4-a4d2-4d8b-9148-e3be6c30e623}">
          <xlrd:rvb i="170"/>
        </ext>
      </extLst>
    </bk>
    <bk>
      <extLst>
        <ext uri="{3e2802c4-a4d2-4d8b-9148-e3be6c30e623}">
          <xlrd:rvb i="238"/>
        </ext>
      </extLst>
    </bk>
    <bk>
      <extLst>
        <ext uri="{3e2802c4-a4d2-4d8b-9148-e3be6c30e623}">
          <xlrd:rvb i="239"/>
        </ext>
      </extLst>
    </bk>
    <bk>
      <extLst>
        <ext uri="{3e2802c4-a4d2-4d8b-9148-e3be6c30e623}">
          <xlrd:rvb i="272"/>
        </ext>
      </extLst>
    </bk>
    <bk>
      <extLst>
        <ext uri="{3e2802c4-a4d2-4d8b-9148-e3be6c30e623}">
          <xlrd:rvb i="273"/>
        </ext>
      </extLst>
    </bk>
    <bk>
      <extLst>
        <ext uri="{3e2802c4-a4d2-4d8b-9148-e3be6c30e623}">
          <xlrd:rvb i="355"/>
        </ext>
      </extLst>
    </bk>
    <bk>
      <extLst>
        <ext uri="{3e2802c4-a4d2-4d8b-9148-e3be6c30e623}">
          <xlrd:rvb i="356"/>
        </ext>
      </extLst>
    </bk>
    <bk>
      <extLst>
        <ext uri="{3e2802c4-a4d2-4d8b-9148-e3be6c30e623}">
          <xlrd:rvb i="551"/>
        </ext>
      </extLst>
    </bk>
    <bk>
      <extLst>
        <ext uri="{3e2802c4-a4d2-4d8b-9148-e3be6c30e623}">
          <xlrd:rvb i="552"/>
        </ext>
      </extLst>
    </bk>
    <bk>
      <extLst>
        <ext uri="{3e2802c4-a4d2-4d8b-9148-e3be6c30e623}">
          <xlrd:rvb i="680"/>
        </ext>
      </extLst>
    </bk>
    <bk>
      <extLst>
        <ext uri="{3e2802c4-a4d2-4d8b-9148-e3be6c30e623}">
          <xlrd:rvb i="681"/>
        </ext>
      </extLst>
    </bk>
    <bk>
      <extLst>
        <ext uri="{3e2802c4-a4d2-4d8b-9148-e3be6c30e623}">
          <xlrd:rvb i="809"/>
        </ext>
      </extLst>
    </bk>
    <bk>
      <extLst>
        <ext uri="{3e2802c4-a4d2-4d8b-9148-e3be6c30e623}">
          <xlrd:rvb i="810"/>
        </ext>
      </extLst>
    </bk>
    <bk>
      <extLst>
        <ext uri="{3e2802c4-a4d2-4d8b-9148-e3be6c30e623}">
          <xlrd:rvb i="847"/>
        </ext>
      </extLst>
    </bk>
    <bk>
      <extLst>
        <ext uri="{3e2802c4-a4d2-4d8b-9148-e3be6c30e623}">
          <xlrd:rvb i="930"/>
        </ext>
      </extLst>
    </bk>
    <bk>
      <extLst>
        <ext uri="{3e2802c4-a4d2-4d8b-9148-e3be6c30e623}">
          <xlrd:rvb i="867"/>
        </ext>
      </extLst>
    </bk>
    <bk>
      <extLst>
        <ext uri="{3e2802c4-a4d2-4d8b-9148-e3be6c30e623}">
          <xlrd:rvb i="931"/>
        </ext>
      </extLst>
    </bk>
    <bk>
      <extLst>
        <ext uri="{3e2802c4-a4d2-4d8b-9148-e3be6c30e623}">
          <xlrd:rvb i="939"/>
        </ext>
      </extLst>
    </bk>
    <bk>
      <extLst>
        <ext uri="{3e2802c4-a4d2-4d8b-9148-e3be6c30e623}">
          <xlrd:rvb i="1031"/>
        </ext>
      </extLst>
    </bk>
    <bk>
      <extLst>
        <ext uri="{3e2802c4-a4d2-4d8b-9148-e3be6c30e623}">
          <xlrd:rvb i="1038"/>
        </ext>
      </extLst>
    </bk>
    <bk>
      <extLst>
        <ext uri="{3e2802c4-a4d2-4d8b-9148-e3be6c30e623}">
          <xlrd:rvb i="1045"/>
        </ext>
      </extLst>
    </bk>
    <bk>
      <extLst>
        <ext uri="{3e2802c4-a4d2-4d8b-9148-e3be6c30e623}">
          <xlrd:rvb i="1048"/>
        </ext>
      </extLst>
    </bk>
    <bk>
      <extLst>
        <ext uri="{3e2802c4-a4d2-4d8b-9148-e3be6c30e623}">
          <xlrd:rvb i="1055"/>
        </ext>
      </extLst>
    </bk>
    <bk>
      <extLst>
        <ext uri="{3e2802c4-a4d2-4d8b-9148-e3be6c30e623}">
          <xlrd:rvb i="1058"/>
        </ext>
      </extLst>
    </bk>
    <bk>
      <extLst>
        <ext uri="{3e2802c4-a4d2-4d8b-9148-e3be6c30e623}">
          <xlrd:rvb i="1061"/>
        </ext>
      </extLst>
    </bk>
    <bk>
      <extLst>
        <ext uri="{3e2802c4-a4d2-4d8b-9148-e3be6c30e623}">
          <xlrd:rvb i="1064"/>
        </ext>
      </extLst>
    </bk>
    <bk>
      <extLst>
        <ext uri="{3e2802c4-a4d2-4d8b-9148-e3be6c30e623}">
          <xlrd:rvb i="1067"/>
        </ext>
      </extLst>
    </bk>
    <bk>
      <extLst>
        <ext uri="{3e2802c4-a4d2-4d8b-9148-e3be6c30e623}">
          <xlrd:rvb i="1070"/>
        </ext>
      </extLst>
    </bk>
    <bk>
      <extLst>
        <ext uri="{3e2802c4-a4d2-4d8b-9148-e3be6c30e623}">
          <xlrd:rvb i="1073"/>
        </ext>
      </extLst>
    </bk>
    <bk>
      <extLst>
        <ext uri="{3e2802c4-a4d2-4d8b-9148-e3be6c30e623}">
          <xlrd:rvb i="1079"/>
        </ext>
      </extLst>
    </bk>
    <bk>
      <extLst>
        <ext uri="{3e2802c4-a4d2-4d8b-9148-e3be6c30e623}">
          <xlrd:rvb i="1082"/>
        </ext>
      </extLst>
    </bk>
    <bk>
      <extLst>
        <ext uri="{3e2802c4-a4d2-4d8b-9148-e3be6c30e623}">
          <xlrd:rvb i="1085"/>
        </ext>
      </extLst>
    </bk>
    <bk>
      <extLst>
        <ext uri="{3e2802c4-a4d2-4d8b-9148-e3be6c30e623}">
          <xlrd:rvb i="1088"/>
        </ext>
      </extLst>
    </bk>
    <bk>
      <extLst>
        <ext uri="{3e2802c4-a4d2-4d8b-9148-e3be6c30e623}">
          <xlrd:rvb i="1091"/>
        </ext>
      </extLst>
    </bk>
    <bk>
      <extLst>
        <ext uri="{3e2802c4-a4d2-4d8b-9148-e3be6c30e623}">
          <xlrd:rvb i="1094"/>
        </ext>
      </extLst>
    </bk>
    <bk>
      <extLst>
        <ext uri="{3e2802c4-a4d2-4d8b-9148-e3be6c30e623}">
          <xlrd:rvb i="1097"/>
        </ext>
      </extLst>
    </bk>
    <bk>
      <extLst>
        <ext uri="{3e2802c4-a4d2-4d8b-9148-e3be6c30e623}">
          <xlrd:rvb i="1100"/>
        </ext>
      </extLst>
    </bk>
    <bk>
      <extLst>
        <ext uri="{3e2802c4-a4d2-4d8b-9148-e3be6c30e623}">
          <xlrd:rvb i="1103"/>
        </ext>
      </extLst>
    </bk>
    <bk>
      <extLst>
        <ext uri="{3e2802c4-a4d2-4d8b-9148-e3be6c30e623}">
          <xlrd:rvb i="1106"/>
        </ext>
      </extLst>
    </bk>
    <bk>
      <extLst>
        <ext uri="{3e2802c4-a4d2-4d8b-9148-e3be6c30e623}">
          <xlrd:rvb i="1109"/>
        </ext>
      </extLst>
    </bk>
    <bk>
      <extLst>
        <ext uri="{3e2802c4-a4d2-4d8b-9148-e3be6c30e623}">
          <xlrd:rvb i="1112"/>
        </ext>
      </extLst>
    </bk>
    <bk>
      <extLst>
        <ext uri="{3e2802c4-a4d2-4d8b-9148-e3be6c30e623}">
          <xlrd:rvb i="1115"/>
        </ext>
      </extLst>
    </bk>
    <bk>
      <extLst>
        <ext uri="{3e2802c4-a4d2-4d8b-9148-e3be6c30e623}">
          <xlrd:rvb i="1118"/>
        </ext>
      </extLst>
    </bk>
    <bk>
      <extLst>
        <ext uri="{3e2802c4-a4d2-4d8b-9148-e3be6c30e623}">
          <xlrd:rvb i="1121"/>
        </ext>
      </extLst>
    </bk>
    <bk>
      <extLst>
        <ext uri="{3e2802c4-a4d2-4d8b-9148-e3be6c30e623}">
          <xlrd:rvb i="1124"/>
        </ext>
      </extLst>
    </bk>
    <bk>
      <extLst>
        <ext uri="{3e2802c4-a4d2-4d8b-9148-e3be6c30e623}">
          <xlrd:rvb i="1127"/>
        </ext>
      </extLst>
    </bk>
    <bk>
      <extLst>
        <ext uri="{3e2802c4-a4d2-4d8b-9148-e3be6c30e623}">
          <xlrd:rvb i="1130"/>
        </ext>
      </extLst>
    </bk>
    <bk>
      <extLst>
        <ext uri="{3e2802c4-a4d2-4d8b-9148-e3be6c30e623}">
          <xlrd:rvb i="1133"/>
        </ext>
      </extLst>
    </bk>
    <bk>
      <extLst>
        <ext uri="{3e2802c4-a4d2-4d8b-9148-e3be6c30e623}">
          <xlrd:rvb i="1136"/>
        </ext>
      </extLst>
    </bk>
    <bk>
      <extLst>
        <ext uri="{3e2802c4-a4d2-4d8b-9148-e3be6c30e623}">
          <xlrd:rvb i="1139"/>
        </ext>
      </extLst>
    </bk>
    <bk>
      <extLst>
        <ext uri="{3e2802c4-a4d2-4d8b-9148-e3be6c30e623}">
          <xlrd:rvb i="1142"/>
        </ext>
      </extLst>
    </bk>
    <bk>
      <extLst>
        <ext uri="{3e2802c4-a4d2-4d8b-9148-e3be6c30e623}">
          <xlrd:rvb i="1145"/>
        </ext>
      </extLst>
    </bk>
    <bk>
      <extLst>
        <ext uri="{3e2802c4-a4d2-4d8b-9148-e3be6c30e623}">
          <xlrd:rvb i="1148"/>
        </ext>
      </extLst>
    </bk>
    <bk>
      <extLst>
        <ext uri="{3e2802c4-a4d2-4d8b-9148-e3be6c30e623}">
          <xlrd:rvb i="1151"/>
        </ext>
      </extLst>
    </bk>
    <bk>
      <extLst>
        <ext uri="{3e2802c4-a4d2-4d8b-9148-e3be6c30e623}">
          <xlrd:rvb i="1154"/>
        </ext>
      </extLst>
    </bk>
    <bk>
      <extLst>
        <ext uri="{3e2802c4-a4d2-4d8b-9148-e3be6c30e623}">
          <xlrd:rvb i="1157"/>
        </ext>
      </extLst>
    </bk>
    <bk>
      <extLst>
        <ext uri="{3e2802c4-a4d2-4d8b-9148-e3be6c30e623}">
          <xlrd:rvb i="1160"/>
        </ext>
      </extLst>
    </bk>
    <bk>
      <extLst>
        <ext uri="{3e2802c4-a4d2-4d8b-9148-e3be6c30e623}">
          <xlrd:rvb i="1163"/>
        </ext>
      </extLst>
    </bk>
    <bk>
      <extLst>
        <ext uri="{3e2802c4-a4d2-4d8b-9148-e3be6c30e623}">
          <xlrd:rvb i="1169"/>
        </ext>
      </extLst>
    </bk>
    <bk>
      <extLst>
        <ext uri="{3e2802c4-a4d2-4d8b-9148-e3be6c30e623}">
          <xlrd:rvb i="1175"/>
        </ext>
      </extLst>
    </bk>
    <bk>
      <extLst>
        <ext uri="{3e2802c4-a4d2-4d8b-9148-e3be6c30e623}">
          <xlrd:rvb i="1178"/>
        </ext>
      </extLst>
    </bk>
    <bk>
      <extLst>
        <ext uri="{3e2802c4-a4d2-4d8b-9148-e3be6c30e623}">
          <xlrd:rvb i="1181"/>
        </ext>
      </extLst>
    </bk>
    <bk>
      <extLst>
        <ext uri="{3e2802c4-a4d2-4d8b-9148-e3be6c30e623}">
          <xlrd:rvb i="1184"/>
        </ext>
      </extLst>
    </bk>
    <bk>
      <extLst>
        <ext uri="{3e2802c4-a4d2-4d8b-9148-e3be6c30e623}">
          <xlrd:rvb i="1187"/>
        </ext>
      </extLst>
    </bk>
    <bk>
      <extLst>
        <ext uri="{3e2802c4-a4d2-4d8b-9148-e3be6c30e623}">
          <xlrd:rvb i="1190"/>
        </ext>
      </extLst>
    </bk>
    <bk>
      <extLst>
        <ext uri="{3e2802c4-a4d2-4d8b-9148-e3be6c30e623}">
          <xlrd:rvb i="1193"/>
        </ext>
      </extLst>
    </bk>
    <bk>
      <extLst>
        <ext uri="{3e2802c4-a4d2-4d8b-9148-e3be6c30e623}">
          <xlrd:rvb i="1196"/>
        </ext>
      </extLst>
    </bk>
    <bk>
      <extLst>
        <ext uri="{3e2802c4-a4d2-4d8b-9148-e3be6c30e623}">
          <xlrd:rvb i="1202"/>
        </ext>
      </extLst>
    </bk>
    <bk>
      <extLst>
        <ext uri="{3e2802c4-a4d2-4d8b-9148-e3be6c30e623}">
          <xlrd:rvb i="1208"/>
        </ext>
      </extLst>
    </bk>
    <bk>
      <extLst>
        <ext uri="{3e2802c4-a4d2-4d8b-9148-e3be6c30e623}">
          <xlrd:rvb i="1214"/>
        </ext>
      </extLst>
    </bk>
    <bk>
      <extLst>
        <ext uri="{3e2802c4-a4d2-4d8b-9148-e3be6c30e623}">
          <xlrd:rvb i="1217"/>
        </ext>
      </extLst>
    </bk>
    <bk>
      <extLst>
        <ext uri="{3e2802c4-a4d2-4d8b-9148-e3be6c30e623}">
          <xlrd:rvb i="1223"/>
        </ext>
      </extLst>
    </bk>
    <bk>
      <extLst>
        <ext uri="{3e2802c4-a4d2-4d8b-9148-e3be6c30e623}">
          <xlrd:rvb i="1226"/>
        </ext>
      </extLst>
    </bk>
    <bk>
      <extLst>
        <ext uri="{3e2802c4-a4d2-4d8b-9148-e3be6c30e623}">
          <xlrd:rvb i="1229"/>
        </ext>
      </extLst>
    </bk>
    <bk>
      <extLst>
        <ext uri="{3e2802c4-a4d2-4d8b-9148-e3be6c30e623}">
          <xlrd:rvb i="1232"/>
        </ext>
      </extLst>
    </bk>
    <bk>
      <extLst>
        <ext uri="{3e2802c4-a4d2-4d8b-9148-e3be6c30e623}">
          <xlrd:rvb i="1238"/>
        </ext>
      </extLst>
    </bk>
    <bk>
      <extLst>
        <ext uri="{3e2802c4-a4d2-4d8b-9148-e3be6c30e623}">
          <xlrd:rvb i="1244"/>
        </ext>
      </extLst>
    </bk>
    <bk>
      <extLst>
        <ext uri="{3e2802c4-a4d2-4d8b-9148-e3be6c30e623}">
          <xlrd:rvb i="1250"/>
        </ext>
      </extLst>
    </bk>
    <bk>
      <extLst>
        <ext uri="{3e2802c4-a4d2-4d8b-9148-e3be6c30e623}">
          <xlrd:rvb i="1253"/>
        </ext>
      </extLst>
    </bk>
    <bk>
      <extLst>
        <ext uri="{3e2802c4-a4d2-4d8b-9148-e3be6c30e623}">
          <xlrd:rvb i="1259"/>
        </ext>
      </extLst>
    </bk>
    <bk>
      <extLst>
        <ext uri="{3e2802c4-a4d2-4d8b-9148-e3be6c30e623}">
          <xlrd:rvb i="1265"/>
        </ext>
      </extLst>
    </bk>
    <bk>
      <extLst>
        <ext uri="{3e2802c4-a4d2-4d8b-9148-e3be6c30e623}">
          <xlrd:rvb i="1271"/>
        </ext>
      </extLst>
    </bk>
    <bk>
      <extLst>
        <ext uri="{3e2802c4-a4d2-4d8b-9148-e3be6c30e623}">
          <xlrd:rvb i="1277"/>
        </ext>
      </extLst>
    </bk>
    <bk>
      <extLst>
        <ext uri="{3e2802c4-a4d2-4d8b-9148-e3be6c30e623}">
          <xlrd:rvb i="1280"/>
        </ext>
      </extLst>
    </bk>
    <bk>
      <extLst>
        <ext uri="{3e2802c4-a4d2-4d8b-9148-e3be6c30e623}">
          <xlrd:rvb i="1283"/>
        </ext>
      </extLst>
    </bk>
    <bk>
      <extLst>
        <ext uri="{3e2802c4-a4d2-4d8b-9148-e3be6c30e623}">
          <xlrd:rvb i="1286"/>
        </ext>
      </extLst>
    </bk>
    <bk>
      <extLst>
        <ext uri="{3e2802c4-a4d2-4d8b-9148-e3be6c30e623}">
          <xlrd:rvb i="1289"/>
        </ext>
      </extLst>
    </bk>
    <bk>
      <extLst>
        <ext uri="{3e2802c4-a4d2-4d8b-9148-e3be6c30e623}">
          <xlrd:rvb i="1295"/>
        </ext>
      </extLst>
    </bk>
    <bk>
      <extLst>
        <ext uri="{3e2802c4-a4d2-4d8b-9148-e3be6c30e623}">
          <xlrd:rvb i="1298"/>
        </ext>
      </extLst>
    </bk>
    <bk>
      <extLst>
        <ext uri="{3e2802c4-a4d2-4d8b-9148-e3be6c30e623}">
          <xlrd:rvb i="1299"/>
        </ext>
      </extLst>
    </bk>
    <bk>
      <extLst>
        <ext uri="{3e2802c4-a4d2-4d8b-9148-e3be6c30e623}">
          <xlrd:rvb i="1305"/>
        </ext>
      </extLst>
    </bk>
    <bk>
      <extLst>
        <ext uri="{3e2802c4-a4d2-4d8b-9148-e3be6c30e623}">
          <xlrd:rvb i="1311"/>
        </ext>
      </extLst>
    </bk>
    <bk>
      <extLst>
        <ext uri="{3e2802c4-a4d2-4d8b-9148-e3be6c30e623}">
          <xlrd:rvb i="1317"/>
        </ext>
      </extLst>
    </bk>
    <bk>
      <extLst>
        <ext uri="{3e2802c4-a4d2-4d8b-9148-e3be6c30e623}">
          <xlrd:rvb i="1323"/>
        </ext>
      </extLst>
    </bk>
    <bk>
      <extLst>
        <ext uri="{3e2802c4-a4d2-4d8b-9148-e3be6c30e623}">
          <xlrd:rvb i="1329"/>
        </ext>
      </extLst>
    </bk>
    <bk>
      <extLst>
        <ext uri="{3e2802c4-a4d2-4d8b-9148-e3be6c30e623}">
          <xlrd:rvb i="1332"/>
        </ext>
      </extLst>
    </bk>
    <bk>
      <extLst>
        <ext uri="{3e2802c4-a4d2-4d8b-9148-e3be6c30e623}">
          <xlrd:rvb i="1338"/>
        </ext>
      </extLst>
    </bk>
    <bk>
      <extLst>
        <ext uri="{3e2802c4-a4d2-4d8b-9148-e3be6c30e623}">
          <xlrd:rvb i="1344"/>
        </ext>
      </extLst>
    </bk>
    <bk>
      <extLst>
        <ext uri="{3e2802c4-a4d2-4d8b-9148-e3be6c30e623}">
          <xlrd:rvb i="1350"/>
        </ext>
      </extLst>
    </bk>
    <bk>
      <extLst>
        <ext uri="{3e2802c4-a4d2-4d8b-9148-e3be6c30e623}">
          <xlrd:rvb i="1356"/>
        </ext>
      </extLst>
    </bk>
    <bk>
      <extLst>
        <ext uri="{3e2802c4-a4d2-4d8b-9148-e3be6c30e623}">
          <xlrd:rvb i="1359"/>
        </ext>
      </extLst>
    </bk>
    <bk>
      <extLst>
        <ext uri="{3e2802c4-a4d2-4d8b-9148-e3be6c30e623}">
          <xlrd:rvb i="1362"/>
        </ext>
      </extLst>
    </bk>
    <bk>
      <extLst>
        <ext uri="{3e2802c4-a4d2-4d8b-9148-e3be6c30e623}">
          <xlrd:rvb i="1365"/>
        </ext>
      </extLst>
    </bk>
    <bk>
      <extLst>
        <ext uri="{3e2802c4-a4d2-4d8b-9148-e3be6c30e623}">
          <xlrd:rvb i="1368"/>
        </ext>
      </extLst>
    </bk>
    <bk>
      <extLst>
        <ext uri="{3e2802c4-a4d2-4d8b-9148-e3be6c30e623}">
          <xlrd:rvb i="1371"/>
        </ext>
      </extLst>
    </bk>
    <bk>
      <extLst>
        <ext uri="{3e2802c4-a4d2-4d8b-9148-e3be6c30e623}">
          <xlrd:rvb i="1374"/>
        </ext>
      </extLst>
    </bk>
    <bk>
      <extLst>
        <ext uri="{3e2802c4-a4d2-4d8b-9148-e3be6c30e623}">
          <xlrd:rvb i="1377"/>
        </ext>
      </extLst>
    </bk>
    <bk>
      <extLst>
        <ext uri="{3e2802c4-a4d2-4d8b-9148-e3be6c30e623}">
          <xlrd:rvb i="1380"/>
        </ext>
      </extLst>
    </bk>
    <bk>
      <extLst>
        <ext uri="{3e2802c4-a4d2-4d8b-9148-e3be6c30e623}">
          <xlrd:rvb i="1383"/>
        </ext>
      </extLst>
    </bk>
  </futureMetadata>
  <cellMetadata count="1">
    <bk>
      <rc t="1" v="0"/>
    </bk>
  </cellMetadata>
  <valueMetadata count="113">
    <bk>
      <rc t="2" v="0"/>
    </bk>
    <bk>
      <rc t="2" v="1"/>
    </bk>
    <bk>
      <rc t="2" v="2"/>
    </bk>
    <bk>
      <rc t="2" v="3"/>
    </bk>
    <bk>
      <rc t="2" v="4"/>
    </bk>
    <bk>
      <rc t="2" v="5"/>
    </bk>
    <bk>
      <rc t="2" v="6"/>
    </bk>
    <bk>
      <rc t="2" v="7"/>
    </bk>
    <bk>
      <rc t="2" v="8"/>
    </bk>
    <bk>
      <rc t="2" v="9"/>
    </bk>
    <bk>
      <rc t="2" v="10"/>
    </bk>
    <bk>
      <rc t="2" v="11"/>
    </bk>
    <bk>
      <rc t="2" v="12"/>
    </bk>
    <bk>
      <rc t="2" v="13"/>
    </bk>
    <bk>
      <rc t="2" v="14"/>
    </bk>
    <bk>
      <rc t="2" v="15"/>
    </bk>
    <bk>
      <rc t="2" v="16"/>
    </bk>
    <bk>
      <rc t="2" v="17"/>
    </bk>
    <bk>
      <rc t="2" v="18"/>
    </bk>
    <bk>
      <rc t="2" v="19"/>
    </bk>
    <bk>
      <rc t="2" v="20"/>
    </bk>
    <bk>
      <rc t="2" v="21"/>
    </bk>
    <bk>
      <rc t="2" v="22"/>
    </bk>
    <bk>
      <rc t="2" v="23"/>
    </bk>
    <bk>
      <rc t="2" v="24"/>
    </bk>
    <bk>
      <rc t="2" v="25"/>
    </bk>
    <bk>
      <rc t="2" v="26"/>
    </bk>
    <bk>
      <rc t="2" v="27"/>
    </bk>
    <bk>
      <rc t="2" v="28"/>
    </bk>
    <bk>
      <rc t="2" v="29"/>
    </bk>
    <bk>
      <rc t="2" v="30"/>
    </bk>
    <bk>
      <rc t="2" v="31"/>
    </bk>
    <bk>
      <rc t="2" v="32"/>
    </bk>
    <bk>
      <rc t="2" v="33"/>
    </bk>
    <bk>
      <rc t="2" v="34"/>
    </bk>
    <bk>
      <rc t="2" v="35"/>
    </bk>
    <bk>
      <rc t="2" v="36"/>
    </bk>
    <bk>
      <rc t="2" v="37"/>
    </bk>
    <bk>
      <rc t="2" v="38"/>
    </bk>
    <bk>
      <rc t="2" v="39"/>
    </bk>
    <bk>
      <rc t="2" v="40"/>
    </bk>
    <bk>
      <rc t="2" v="41"/>
    </bk>
    <bk>
      <rc t="2" v="42"/>
    </bk>
    <bk>
      <rc t="2" v="43"/>
    </bk>
    <bk>
      <rc t="2" v="44"/>
    </bk>
    <bk>
      <rc t="2" v="45"/>
    </bk>
    <bk>
      <rc t="2" v="46"/>
    </bk>
    <bk>
      <rc t="2" v="47"/>
    </bk>
    <bk>
      <rc t="2" v="48"/>
    </bk>
    <bk>
      <rc t="2" v="49"/>
    </bk>
    <bk>
      <rc t="2" v="50"/>
    </bk>
    <bk>
      <rc t="2" v="51"/>
    </bk>
    <bk>
      <rc t="2" v="52"/>
    </bk>
    <bk>
      <rc t="2" v="53"/>
    </bk>
    <bk>
      <rc t="2" v="54"/>
    </bk>
    <bk>
      <rc t="2" v="55"/>
    </bk>
    <bk>
      <rc t="2" v="56"/>
    </bk>
    <bk>
      <rc t="2" v="57"/>
    </bk>
    <bk>
      <rc t="2" v="58"/>
    </bk>
    <bk>
      <rc t="2" v="59"/>
    </bk>
    <bk>
      <rc t="2" v="60"/>
    </bk>
    <bk>
      <rc t="2" v="61"/>
    </bk>
    <bk>
      <rc t="2" v="62"/>
    </bk>
    <bk>
      <rc t="2" v="63"/>
    </bk>
    <bk>
      <rc t="2" v="64"/>
    </bk>
    <bk>
      <rc t="2" v="65"/>
    </bk>
    <bk>
      <rc t="2" v="66"/>
    </bk>
    <bk>
      <rc t="2" v="67"/>
    </bk>
    <bk>
      <rc t="2" v="68"/>
    </bk>
    <bk>
      <rc t="2" v="69"/>
    </bk>
    <bk>
      <rc t="2" v="70"/>
    </bk>
    <bk>
      <rc t="2" v="71"/>
    </bk>
    <bk>
      <rc t="2" v="72"/>
    </bk>
    <bk>
      <rc t="2" v="73"/>
    </bk>
    <bk>
      <rc t="2" v="74"/>
    </bk>
    <bk>
      <rc t="2" v="75"/>
    </bk>
    <bk>
      <rc t="2" v="76"/>
    </bk>
    <bk>
      <rc t="2" v="77"/>
    </bk>
    <bk>
      <rc t="2" v="78"/>
    </bk>
    <bk>
      <rc t="2" v="79"/>
    </bk>
    <bk>
      <rc t="2" v="80"/>
    </bk>
    <bk>
      <rc t="2" v="81"/>
    </bk>
    <bk>
      <rc t="2" v="82"/>
    </bk>
    <bk>
      <rc t="2" v="83"/>
    </bk>
    <bk>
      <rc t="2" v="84"/>
    </bk>
    <bk>
      <rc t="2" v="85"/>
    </bk>
    <bk>
      <rc t="2" v="86"/>
    </bk>
    <bk>
      <rc t="2" v="87"/>
    </bk>
    <bk>
      <rc t="2" v="88"/>
    </bk>
    <bk>
      <rc t="2" v="89"/>
    </bk>
    <bk>
      <rc t="2" v="90"/>
    </bk>
    <bk>
      <rc t="2" v="91"/>
    </bk>
    <bk>
      <rc t="2" v="92"/>
    </bk>
    <bk>
      <rc t="2" v="93"/>
    </bk>
    <bk>
      <rc t="2" v="94"/>
    </bk>
    <bk>
      <rc t="2" v="95"/>
    </bk>
    <bk>
      <rc t="2" v="96"/>
    </bk>
    <bk>
      <rc t="2" v="97"/>
    </bk>
    <bk>
      <rc t="2" v="98"/>
    </bk>
    <bk>
      <rc t="2" v="99"/>
    </bk>
    <bk>
      <rc t="2" v="100"/>
    </bk>
    <bk>
      <rc t="2" v="101"/>
    </bk>
    <bk>
      <rc t="2" v="102"/>
    </bk>
    <bk>
      <rc t="2" v="103"/>
    </bk>
    <bk>
      <rc t="2" v="104"/>
    </bk>
    <bk>
      <rc t="2" v="105"/>
    </bk>
    <bk>
      <rc t="2" v="106"/>
    </bk>
    <bk>
      <rc t="2" v="107"/>
    </bk>
    <bk>
      <rc t="2" v="108"/>
    </bk>
    <bk>
      <rc t="2" v="109"/>
    </bk>
    <bk>
      <rc t="2" v="110"/>
    </bk>
    <bk>
      <rc t="2" v="111"/>
    </bk>
    <bk>
      <rc t="2" v="112"/>
    </bk>
  </valueMetadata>
</metadata>
</file>

<file path=xl/sharedStrings.xml><?xml version="1.0" encoding="utf-8"?>
<sst xmlns="http://schemas.openxmlformats.org/spreadsheetml/2006/main" count="1864" uniqueCount="894">
  <si>
    <t>MARKET</t>
  </si>
  <si>
    <t>COUNTRY</t>
  </si>
  <si>
    <t>CURRENCY</t>
  </si>
  <si>
    <t>Time Diff</t>
  </si>
  <si>
    <t>Start Time</t>
  </si>
  <si>
    <t>Mid Close</t>
  </si>
  <si>
    <t>Mid Open</t>
  </si>
  <si>
    <t>End Time</t>
  </si>
  <si>
    <t>Market Status</t>
  </si>
  <si>
    <t>EXC Rate</t>
  </si>
  <si>
    <t>Market Delay</t>
  </si>
  <si>
    <t>Alternative Timings</t>
  </si>
  <si>
    <t>MS MKT CODE</t>
  </si>
  <si>
    <t>ASE / AMEX</t>
  </si>
  <si>
    <r>
      <rPr>
        <b/>
        <sz val="11"/>
        <color rgb="FFFF0000"/>
        <rFont val="Calibri"/>
        <family val="2"/>
        <scheme val="minor"/>
      </rPr>
      <t>AM</t>
    </r>
    <r>
      <rPr>
        <sz val="11"/>
        <color theme="1"/>
        <rFont val="Calibri"/>
        <family val="2"/>
        <scheme val="minor"/>
      </rPr>
      <t xml:space="preserve">ERICAN STOCK </t>
    </r>
    <r>
      <rPr>
        <b/>
        <sz val="11"/>
        <color rgb="FFFF0000"/>
        <rFont val="Calibri"/>
        <family val="2"/>
        <scheme val="minor"/>
      </rPr>
      <t>EX</t>
    </r>
    <r>
      <rPr>
        <sz val="11"/>
        <color theme="1"/>
        <rFont val="Calibri"/>
        <family val="2"/>
        <scheme val="minor"/>
      </rPr>
      <t>CHANGE</t>
    </r>
  </si>
  <si>
    <t>20 mins</t>
  </si>
  <si>
    <t>14 Mar - 7 Nov</t>
  </si>
  <si>
    <t>DST</t>
  </si>
  <si>
    <t>v 1.0</t>
  </si>
  <si>
    <t>Initial Release</t>
  </si>
  <si>
    <t>ASX</t>
  </si>
  <si>
    <r>
      <rPr>
        <b/>
        <sz val="11"/>
        <color rgb="FFFF0000"/>
        <rFont val="Calibri"/>
        <family val="2"/>
        <scheme val="minor"/>
      </rPr>
      <t>A</t>
    </r>
    <r>
      <rPr>
        <sz val="11"/>
        <color theme="1"/>
        <rFont val="Calibri"/>
        <family val="2"/>
        <scheme val="minor"/>
      </rPr>
      <t xml:space="preserve">USTRALIAN </t>
    </r>
    <r>
      <rPr>
        <b/>
        <sz val="11"/>
        <color rgb="FFFF0000"/>
        <rFont val="Calibri"/>
        <family val="2"/>
        <scheme val="minor"/>
      </rPr>
      <t>S</t>
    </r>
    <r>
      <rPr>
        <sz val="11"/>
        <color theme="1"/>
        <rFont val="Calibri"/>
        <family val="2"/>
        <scheme val="minor"/>
      </rPr>
      <t xml:space="preserve">ECURITIES </t>
    </r>
    <r>
      <rPr>
        <b/>
        <sz val="11"/>
        <color rgb="FFFF0000"/>
        <rFont val="Calibri"/>
        <family val="2"/>
        <scheme val="minor"/>
      </rPr>
      <t>E</t>
    </r>
    <r>
      <rPr>
        <sz val="11"/>
        <color theme="1"/>
        <rFont val="Calibri"/>
        <family val="2"/>
        <scheme val="minor"/>
      </rPr>
      <t>XCHANGE (</t>
    </r>
    <r>
      <rPr>
        <b/>
        <sz val="11"/>
        <color rgb="FFFF0000"/>
        <rFont val="Calibri"/>
        <family val="2"/>
        <scheme val="minor"/>
      </rPr>
      <t>A</t>
    </r>
    <r>
      <rPr>
        <sz val="11"/>
        <color theme="1"/>
        <rFont val="Calibri"/>
        <family val="2"/>
        <scheme val="minor"/>
      </rPr>
      <t xml:space="preserve">USTRALIA </t>
    </r>
    <r>
      <rPr>
        <b/>
        <sz val="11"/>
        <color rgb="FFFF0000"/>
        <rFont val="Calibri"/>
        <family val="2"/>
        <scheme val="minor"/>
      </rPr>
      <t>S</t>
    </r>
    <r>
      <rPr>
        <sz val="11"/>
        <color theme="1"/>
        <rFont val="Calibri"/>
        <family val="2"/>
        <scheme val="minor"/>
      </rPr>
      <t>TOCK E</t>
    </r>
    <r>
      <rPr>
        <b/>
        <sz val="11"/>
        <color rgb="FFFF0000"/>
        <rFont val="Calibri"/>
        <family val="2"/>
        <scheme val="minor"/>
      </rPr>
      <t>X</t>
    </r>
    <r>
      <rPr>
        <sz val="11"/>
        <color theme="1"/>
        <rFont val="Calibri"/>
        <family val="2"/>
        <scheme val="minor"/>
      </rPr>
      <t>CHANGE)</t>
    </r>
  </si>
  <si>
    <t>15 mins</t>
  </si>
  <si>
    <t>XASX</t>
  </si>
  <si>
    <t>Market status calculations are not 100% accurate yet.</t>
  </si>
  <si>
    <t>KLS(E) / BURSA</t>
  </si>
  <si>
    <r>
      <rPr>
        <b/>
        <sz val="11"/>
        <color rgb="FFFF0000"/>
        <rFont val="Calibri"/>
        <family val="2"/>
        <scheme val="minor"/>
      </rPr>
      <t>BURSA</t>
    </r>
    <r>
      <rPr>
        <sz val="11"/>
        <color theme="1"/>
        <rFont val="Calibri"/>
        <family val="2"/>
        <scheme val="minor"/>
      </rPr>
      <t xml:space="preserve"> MALAYSIA BERHAD</t>
    </r>
  </si>
  <si>
    <t>HKG / HKEX</t>
  </si>
  <si>
    <r>
      <rPr>
        <b/>
        <sz val="11"/>
        <color rgb="FFFF0000"/>
        <rFont val="Calibri"/>
        <family val="2"/>
        <scheme val="minor"/>
      </rPr>
      <t>H</t>
    </r>
    <r>
      <rPr>
        <sz val="11"/>
        <color theme="1"/>
        <rFont val="Calibri"/>
        <family val="2"/>
        <scheme val="minor"/>
      </rPr>
      <t xml:space="preserve">ONG </t>
    </r>
    <r>
      <rPr>
        <b/>
        <sz val="11"/>
        <color rgb="FFFF0000"/>
        <rFont val="Calibri"/>
        <family val="2"/>
        <scheme val="minor"/>
      </rPr>
      <t>K</t>
    </r>
    <r>
      <rPr>
        <sz val="11"/>
        <color theme="1"/>
        <rFont val="Calibri"/>
        <family val="2"/>
        <scheme val="minor"/>
      </rPr>
      <t xml:space="preserve">ONG STOCK </t>
    </r>
    <r>
      <rPr>
        <b/>
        <sz val="11"/>
        <color rgb="FFFF0000"/>
        <rFont val="Calibri"/>
        <family val="2"/>
        <scheme val="minor"/>
      </rPr>
      <t>E</t>
    </r>
    <r>
      <rPr>
        <sz val="11"/>
        <color rgb="FFFF0000"/>
        <rFont val="Calibri"/>
        <family val="2"/>
        <scheme val="minor"/>
      </rPr>
      <t>X</t>
    </r>
    <r>
      <rPr>
        <sz val="11"/>
        <color theme="1"/>
        <rFont val="Calibri"/>
        <family val="2"/>
        <scheme val="minor"/>
      </rPr>
      <t>CHANGE</t>
    </r>
  </si>
  <si>
    <t>XHKG</t>
  </si>
  <si>
    <t>JKT / IDX</t>
  </si>
  <si>
    <r>
      <rPr>
        <b/>
        <sz val="11"/>
        <color rgb="FFFF0000"/>
        <rFont val="Calibri"/>
        <family val="2"/>
        <scheme val="minor"/>
      </rPr>
      <t>I</t>
    </r>
    <r>
      <rPr>
        <sz val="11"/>
        <color theme="1"/>
        <rFont val="Calibri"/>
        <family val="2"/>
        <scheme val="minor"/>
      </rPr>
      <t>N</t>
    </r>
    <r>
      <rPr>
        <b/>
        <sz val="11"/>
        <color rgb="FFFF0000"/>
        <rFont val="Calibri"/>
        <family val="2"/>
        <scheme val="minor"/>
      </rPr>
      <t>D</t>
    </r>
    <r>
      <rPr>
        <sz val="11"/>
        <color theme="1"/>
        <rFont val="Calibri"/>
        <family val="2"/>
        <scheme val="minor"/>
      </rPr>
      <t>ONESIA STOCK E</t>
    </r>
    <r>
      <rPr>
        <b/>
        <sz val="11"/>
        <color rgb="FFFF0000"/>
        <rFont val="Calibri"/>
        <family val="2"/>
        <scheme val="minor"/>
      </rPr>
      <t>X</t>
    </r>
    <r>
      <rPr>
        <sz val="11"/>
        <color theme="1"/>
        <rFont val="Calibri"/>
        <family val="2"/>
        <scheme val="minor"/>
      </rPr>
      <t>CHANGE</t>
    </r>
  </si>
  <si>
    <t>30 mins</t>
  </si>
  <si>
    <t>Friday</t>
  </si>
  <si>
    <t>XIDX</t>
  </si>
  <si>
    <t>To-Do</t>
  </si>
  <si>
    <t>LSE</t>
  </si>
  <si>
    <r>
      <rPr>
        <b/>
        <sz val="11"/>
        <color rgb="FFFF0000"/>
        <rFont val="Calibri"/>
        <family val="2"/>
        <scheme val="minor"/>
      </rPr>
      <t>L</t>
    </r>
    <r>
      <rPr>
        <sz val="11"/>
        <color theme="1"/>
        <rFont val="Calibri"/>
        <family val="2"/>
        <scheme val="minor"/>
      </rPr>
      <t xml:space="preserve">ONDON </t>
    </r>
    <r>
      <rPr>
        <b/>
        <sz val="11"/>
        <color rgb="FFFF0000"/>
        <rFont val="Calibri"/>
        <family val="2"/>
        <scheme val="minor"/>
      </rPr>
      <t>S</t>
    </r>
    <r>
      <rPr>
        <sz val="11"/>
        <color theme="1"/>
        <rFont val="Calibri"/>
        <family val="2"/>
        <scheme val="minor"/>
      </rPr>
      <t xml:space="preserve">TOCK </t>
    </r>
    <r>
      <rPr>
        <b/>
        <sz val="11"/>
        <color rgb="FFFF0000"/>
        <rFont val="Calibri"/>
        <family val="2"/>
        <scheme val="minor"/>
      </rPr>
      <t>E</t>
    </r>
    <r>
      <rPr>
        <sz val="11"/>
        <color theme="1"/>
        <rFont val="Calibri"/>
        <family val="2"/>
        <scheme val="minor"/>
      </rPr>
      <t>XCHANGE</t>
    </r>
  </si>
  <si>
    <t>XLON</t>
  </si>
  <si>
    <t>NMS / NASDAQ</t>
  </si>
  <si>
    <r>
      <rPr>
        <b/>
        <sz val="11"/>
        <color rgb="FFFF0000"/>
        <rFont val="Calibri"/>
        <family val="2"/>
        <scheme val="minor"/>
      </rPr>
      <t>N</t>
    </r>
    <r>
      <rPr>
        <sz val="11"/>
        <color theme="1"/>
        <rFont val="Calibri"/>
        <family val="2"/>
        <scheme val="minor"/>
      </rPr>
      <t xml:space="preserve">ATIONAL </t>
    </r>
    <r>
      <rPr>
        <b/>
        <sz val="11"/>
        <color rgb="FFFF0000"/>
        <rFont val="Calibri"/>
        <family val="2"/>
        <scheme val="minor"/>
      </rPr>
      <t>A</t>
    </r>
    <r>
      <rPr>
        <sz val="11"/>
        <color theme="1"/>
        <rFont val="Calibri"/>
        <family val="2"/>
        <scheme val="minor"/>
      </rPr>
      <t xml:space="preserve">SSOCIATION OF </t>
    </r>
    <r>
      <rPr>
        <b/>
        <sz val="11"/>
        <color rgb="FFFF0000"/>
        <rFont val="Calibri"/>
        <family val="2"/>
        <scheme val="minor"/>
      </rPr>
      <t>S</t>
    </r>
    <r>
      <rPr>
        <sz val="11"/>
        <color theme="1"/>
        <rFont val="Calibri"/>
        <family val="2"/>
        <scheme val="minor"/>
      </rPr>
      <t xml:space="preserve">ECURITIES </t>
    </r>
    <r>
      <rPr>
        <b/>
        <sz val="11"/>
        <color rgb="FFFF0000"/>
        <rFont val="Calibri"/>
        <family val="2"/>
        <scheme val="minor"/>
      </rPr>
      <t>D</t>
    </r>
    <r>
      <rPr>
        <sz val="11"/>
        <color theme="1"/>
        <rFont val="Calibri"/>
        <family val="2"/>
        <scheme val="minor"/>
      </rPr>
      <t xml:space="preserve">EALERS </t>
    </r>
    <r>
      <rPr>
        <b/>
        <sz val="11"/>
        <color rgb="FFFF0000"/>
        <rFont val="Calibri"/>
        <family val="2"/>
        <scheme val="minor"/>
      </rPr>
      <t>A</t>
    </r>
    <r>
      <rPr>
        <sz val="11"/>
        <color theme="1"/>
        <rFont val="Calibri"/>
        <family val="2"/>
        <scheme val="minor"/>
      </rPr>
      <t xml:space="preserve">UTOMATED </t>
    </r>
    <r>
      <rPr>
        <b/>
        <sz val="11"/>
        <color rgb="FFFF0000"/>
        <rFont val="Calibri"/>
        <family val="2"/>
        <scheme val="minor"/>
      </rPr>
      <t>Q</t>
    </r>
    <r>
      <rPr>
        <sz val="11"/>
        <color theme="1"/>
        <rFont val="Calibri"/>
        <family val="2"/>
        <scheme val="minor"/>
      </rPr>
      <t>UOTATIONS</t>
    </r>
  </si>
  <si>
    <t>XNAS</t>
  </si>
  <si>
    <t>NYS / NYSE</t>
  </si>
  <si>
    <r>
      <rPr>
        <b/>
        <sz val="11"/>
        <color rgb="FFFF0000"/>
        <rFont val="Calibri"/>
        <family val="2"/>
        <scheme val="minor"/>
      </rPr>
      <t>N</t>
    </r>
    <r>
      <rPr>
        <sz val="11"/>
        <color theme="1"/>
        <rFont val="Calibri"/>
        <family val="2"/>
        <scheme val="minor"/>
      </rPr>
      <t xml:space="preserve">EW </t>
    </r>
    <r>
      <rPr>
        <b/>
        <sz val="11"/>
        <color rgb="FFFF0000"/>
        <rFont val="Calibri"/>
        <family val="2"/>
        <scheme val="minor"/>
      </rPr>
      <t>Y</t>
    </r>
    <r>
      <rPr>
        <sz val="11"/>
        <color theme="1"/>
        <rFont val="Calibri"/>
        <family val="2"/>
        <scheme val="minor"/>
      </rPr>
      <t xml:space="preserve">ORK </t>
    </r>
    <r>
      <rPr>
        <b/>
        <sz val="11"/>
        <color rgb="FFFF0000"/>
        <rFont val="Calibri"/>
        <family val="2"/>
        <scheme val="minor"/>
      </rPr>
      <t>S</t>
    </r>
    <r>
      <rPr>
        <sz val="11"/>
        <color theme="1"/>
        <rFont val="Calibri"/>
        <family val="2"/>
        <scheme val="minor"/>
      </rPr>
      <t xml:space="preserve">TOCK </t>
    </r>
    <r>
      <rPr>
        <b/>
        <sz val="11"/>
        <color rgb="FFFF0000"/>
        <rFont val="Calibri"/>
        <family val="2"/>
        <scheme val="minor"/>
      </rPr>
      <t>E</t>
    </r>
    <r>
      <rPr>
        <sz val="11"/>
        <color theme="1"/>
        <rFont val="Calibri"/>
        <family val="2"/>
        <scheme val="minor"/>
      </rPr>
      <t>XCHANGE</t>
    </r>
  </si>
  <si>
    <t>XNYS</t>
  </si>
  <si>
    <t>PSE / PHS</t>
  </si>
  <si>
    <r>
      <rPr>
        <b/>
        <sz val="11"/>
        <color rgb="FFFF0000"/>
        <rFont val="Calibri"/>
        <family val="2"/>
        <scheme val="minor"/>
      </rPr>
      <t>PH</t>
    </r>
    <r>
      <rPr>
        <sz val="11"/>
        <color theme="1"/>
        <rFont val="Calibri"/>
        <family val="2"/>
        <scheme val="minor"/>
      </rPr>
      <t xml:space="preserve">ILIPPINE </t>
    </r>
    <r>
      <rPr>
        <b/>
        <sz val="11"/>
        <color rgb="FFFF0000"/>
        <rFont val="Calibri"/>
        <family val="2"/>
        <scheme val="minor"/>
      </rPr>
      <t>S</t>
    </r>
    <r>
      <rPr>
        <sz val="11"/>
        <color theme="1"/>
        <rFont val="Calibri"/>
        <family val="2"/>
        <scheme val="minor"/>
      </rPr>
      <t>TOCK EXCHANGE</t>
    </r>
  </si>
  <si>
    <t>XPHS</t>
  </si>
  <si>
    <t>SET</t>
  </si>
  <si>
    <r>
      <rPr>
        <b/>
        <sz val="11"/>
        <color rgb="FFFF0000"/>
        <rFont val="Calibri"/>
        <family val="2"/>
        <scheme val="minor"/>
      </rPr>
      <t>S</t>
    </r>
    <r>
      <rPr>
        <sz val="11"/>
        <color theme="1"/>
        <rFont val="Calibri"/>
        <family val="2"/>
        <scheme val="minor"/>
      </rPr>
      <t xml:space="preserve">TOCK </t>
    </r>
    <r>
      <rPr>
        <b/>
        <sz val="11"/>
        <color rgb="FFFF0000"/>
        <rFont val="Calibri"/>
        <family val="2"/>
        <scheme val="minor"/>
      </rPr>
      <t>E</t>
    </r>
    <r>
      <rPr>
        <sz val="11"/>
        <color theme="1"/>
        <rFont val="Calibri"/>
        <family val="2"/>
        <scheme val="minor"/>
      </rPr>
      <t xml:space="preserve">XCHANGE OF </t>
    </r>
    <r>
      <rPr>
        <b/>
        <sz val="11"/>
        <color rgb="FFFF0000"/>
        <rFont val="Calibri"/>
        <family val="2"/>
        <scheme val="minor"/>
      </rPr>
      <t>T</t>
    </r>
    <r>
      <rPr>
        <sz val="11"/>
        <color theme="1"/>
        <rFont val="Calibri"/>
        <family val="2"/>
        <scheme val="minor"/>
      </rPr>
      <t>HAILAND</t>
    </r>
  </si>
  <si>
    <t>SGX</t>
  </si>
  <si>
    <r>
      <rPr>
        <b/>
        <sz val="11"/>
        <color rgb="FFFF0000"/>
        <rFont val="Calibri"/>
        <family val="2"/>
        <scheme val="minor"/>
      </rPr>
      <t>S</t>
    </r>
    <r>
      <rPr>
        <sz val="11"/>
        <color theme="1"/>
        <rFont val="Calibri"/>
        <family val="2"/>
        <scheme val="minor"/>
      </rPr>
      <t>IN</t>
    </r>
    <r>
      <rPr>
        <b/>
        <sz val="11"/>
        <color rgb="FFFF0000"/>
        <rFont val="Calibri"/>
        <family val="2"/>
        <scheme val="minor"/>
      </rPr>
      <t>G</t>
    </r>
    <r>
      <rPr>
        <sz val="11"/>
        <color theme="1"/>
        <rFont val="Calibri"/>
        <family val="2"/>
        <scheme val="minor"/>
      </rPr>
      <t>APORE STOCK E</t>
    </r>
    <r>
      <rPr>
        <b/>
        <sz val="11"/>
        <color rgb="FFFF0000"/>
        <rFont val="Calibri"/>
        <family val="2"/>
        <scheme val="minor"/>
      </rPr>
      <t>X</t>
    </r>
    <r>
      <rPr>
        <sz val="11"/>
        <color theme="1"/>
        <rFont val="Calibri"/>
        <family val="2"/>
        <scheme val="minor"/>
      </rPr>
      <t>CHANGE</t>
    </r>
  </si>
  <si>
    <t>SGD</t>
  </si>
  <si>
    <t>SGXO</t>
  </si>
  <si>
    <r>
      <rPr>
        <b/>
        <sz val="11"/>
        <color rgb="FFFF0000"/>
        <rFont val="Calibri"/>
        <family val="2"/>
        <scheme val="minor"/>
      </rPr>
      <t>S</t>
    </r>
    <r>
      <rPr>
        <sz val="11"/>
        <color theme="1"/>
        <rFont val="Calibri"/>
        <family val="2"/>
        <scheme val="minor"/>
      </rPr>
      <t>IN</t>
    </r>
    <r>
      <rPr>
        <b/>
        <sz val="11"/>
        <color rgb="FFFF0000"/>
        <rFont val="Calibri"/>
        <family val="2"/>
        <scheme val="minor"/>
      </rPr>
      <t>G</t>
    </r>
    <r>
      <rPr>
        <sz val="11"/>
        <color theme="1"/>
        <rFont val="Calibri"/>
        <family val="2"/>
        <scheme val="minor"/>
      </rPr>
      <t>APORE STOCK E</t>
    </r>
    <r>
      <rPr>
        <b/>
        <sz val="11"/>
        <color rgb="FFFF0000"/>
        <rFont val="Calibri"/>
        <family val="2"/>
        <scheme val="minor"/>
      </rPr>
      <t>X</t>
    </r>
    <r>
      <rPr>
        <sz val="11"/>
        <color theme="1"/>
        <rFont val="Calibri"/>
        <family val="2"/>
        <scheme val="minor"/>
      </rPr>
      <t xml:space="preserve">CHANGE </t>
    </r>
    <r>
      <rPr>
        <b/>
        <sz val="11"/>
        <color rgb="FFFF0000"/>
        <rFont val="Calibri"/>
        <family val="2"/>
        <scheme val="minor"/>
      </rPr>
      <t>O</t>
    </r>
    <r>
      <rPr>
        <sz val="11"/>
        <color theme="1"/>
        <rFont val="Calibri"/>
        <family val="2"/>
        <scheme val="minor"/>
      </rPr>
      <t>DD LOT</t>
    </r>
  </si>
  <si>
    <t>SSE A</t>
  </si>
  <si>
    <r>
      <rPr>
        <b/>
        <sz val="11"/>
        <color rgb="FFFF0000"/>
        <rFont val="Calibri"/>
        <family val="2"/>
        <scheme val="minor"/>
      </rPr>
      <t>S</t>
    </r>
    <r>
      <rPr>
        <sz val="11"/>
        <color theme="1"/>
        <rFont val="Calibri"/>
        <family val="2"/>
        <scheme val="minor"/>
      </rPr>
      <t xml:space="preserve">HANGHAI </t>
    </r>
    <r>
      <rPr>
        <b/>
        <sz val="11"/>
        <color rgb="FFFF0000"/>
        <rFont val="Calibri"/>
        <family val="2"/>
        <scheme val="minor"/>
      </rPr>
      <t>S</t>
    </r>
    <r>
      <rPr>
        <sz val="11"/>
        <color theme="1"/>
        <rFont val="Calibri"/>
        <family val="2"/>
        <scheme val="minor"/>
      </rPr>
      <t xml:space="preserve">TOCK </t>
    </r>
    <r>
      <rPr>
        <b/>
        <sz val="11"/>
        <color rgb="FFFF0000"/>
        <rFont val="Calibri"/>
        <family val="2"/>
        <scheme val="minor"/>
      </rPr>
      <t>E</t>
    </r>
    <r>
      <rPr>
        <sz val="11"/>
        <color theme="1"/>
        <rFont val="Calibri"/>
        <family val="2"/>
        <scheme val="minor"/>
      </rPr>
      <t>XCHANGE (</t>
    </r>
    <r>
      <rPr>
        <b/>
        <sz val="11"/>
        <color rgb="FFFF0000"/>
        <rFont val="Calibri"/>
        <family val="2"/>
        <scheme val="minor"/>
      </rPr>
      <t>A</t>
    </r>
    <r>
      <rPr>
        <sz val="11"/>
        <color theme="1"/>
        <rFont val="Calibri"/>
        <family val="2"/>
        <scheme val="minor"/>
      </rPr>
      <t>)</t>
    </r>
  </si>
  <si>
    <t>SSE / SSE B</t>
  </si>
  <si>
    <r>
      <rPr>
        <b/>
        <sz val="11"/>
        <color rgb="FFFF0000"/>
        <rFont val="Calibri"/>
        <family val="2"/>
        <scheme val="minor"/>
      </rPr>
      <t>S</t>
    </r>
    <r>
      <rPr>
        <sz val="11"/>
        <color theme="1"/>
        <rFont val="Calibri"/>
        <family val="2"/>
        <scheme val="minor"/>
      </rPr>
      <t xml:space="preserve">HANGHAI </t>
    </r>
    <r>
      <rPr>
        <b/>
        <sz val="11"/>
        <color rgb="FFFF0000"/>
        <rFont val="Calibri"/>
        <family val="2"/>
        <scheme val="minor"/>
      </rPr>
      <t>S</t>
    </r>
    <r>
      <rPr>
        <sz val="11"/>
        <color theme="1"/>
        <rFont val="Calibri"/>
        <family val="2"/>
        <scheme val="minor"/>
      </rPr>
      <t xml:space="preserve">TOCK </t>
    </r>
    <r>
      <rPr>
        <b/>
        <sz val="11"/>
        <color rgb="FFFF0000"/>
        <rFont val="Calibri"/>
        <family val="2"/>
        <scheme val="minor"/>
      </rPr>
      <t>E</t>
    </r>
    <r>
      <rPr>
        <sz val="11"/>
        <color theme="1"/>
        <rFont val="Calibri"/>
        <family val="2"/>
        <scheme val="minor"/>
      </rPr>
      <t>XCHANGE (</t>
    </r>
    <r>
      <rPr>
        <b/>
        <sz val="11"/>
        <color rgb="FFFF0000"/>
        <rFont val="Calibri"/>
        <family val="2"/>
        <scheme val="minor"/>
      </rPr>
      <t>B</t>
    </r>
    <r>
      <rPr>
        <sz val="11"/>
        <color theme="1"/>
        <rFont val="Calibri"/>
        <family val="2"/>
        <scheme val="minor"/>
      </rPr>
      <t>)</t>
    </r>
  </si>
  <si>
    <t>SZSE / SZSE B</t>
  </si>
  <si>
    <r>
      <rPr>
        <b/>
        <sz val="11"/>
        <color rgb="FFFF0000"/>
        <rFont val="Calibri"/>
        <family val="2"/>
        <scheme val="minor"/>
      </rPr>
      <t>S</t>
    </r>
    <r>
      <rPr>
        <sz val="11"/>
        <color theme="1"/>
        <rFont val="Calibri"/>
        <family val="2"/>
        <scheme val="minor"/>
      </rPr>
      <t>HEN</t>
    </r>
    <r>
      <rPr>
        <b/>
        <sz val="11"/>
        <color rgb="FFFF0000"/>
        <rFont val="Calibri"/>
        <family val="2"/>
        <scheme val="minor"/>
      </rPr>
      <t>Z</t>
    </r>
    <r>
      <rPr>
        <sz val="11"/>
        <color theme="1"/>
        <rFont val="Calibri"/>
        <family val="2"/>
        <scheme val="minor"/>
      </rPr>
      <t xml:space="preserve">HEN </t>
    </r>
    <r>
      <rPr>
        <b/>
        <sz val="11"/>
        <color rgb="FFFF0000"/>
        <rFont val="Calibri"/>
        <family val="2"/>
        <scheme val="minor"/>
      </rPr>
      <t>S</t>
    </r>
    <r>
      <rPr>
        <sz val="11"/>
        <color theme="1"/>
        <rFont val="Calibri"/>
        <family val="2"/>
        <scheme val="minor"/>
      </rPr>
      <t xml:space="preserve">TOCK </t>
    </r>
    <r>
      <rPr>
        <b/>
        <sz val="11"/>
        <color rgb="FFFF0000"/>
        <rFont val="Calibri"/>
        <family val="2"/>
        <scheme val="minor"/>
      </rPr>
      <t>E</t>
    </r>
    <r>
      <rPr>
        <sz val="11"/>
        <color theme="1"/>
        <rFont val="Calibri"/>
        <family val="2"/>
        <scheme val="minor"/>
      </rPr>
      <t>XCHANGE (</t>
    </r>
    <r>
      <rPr>
        <b/>
        <sz val="11"/>
        <color rgb="FFFF0000"/>
        <rFont val="Calibri"/>
        <family val="2"/>
        <scheme val="minor"/>
      </rPr>
      <t>B</t>
    </r>
    <r>
      <rPr>
        <sz val="11"/>
        <color theme="1"/>
        <rFont val="Calibri"/>
        <family val="2"/>
        <scheme val="minor"/>
      </rPr>
      <t>)</t>
    </r>
  </si>
  <si>
    <t>XSHE</t>
  </si>
  <si>
    <t>JPX / TSE</t>
  </si>
  <si>
    <r>
      <rPr>
        <b/>
        <sz val="11"/>
        <color rgb="FFFF0000"/>
        <rFont val="Calibri"/>
        <family val="2"/>
        <scheme val="minor"/>
      </rPr>
      <t>T</t>
    </r>
    <r>
      <rPr>
        <sz val="11"/>
        <color theme="1"/>
        <rFont val="Calibri"/>
        <family val="2"/>
        <scheme val="minor"/>
      </rPr>
      <t xml:space="preserve">OKYO </t>
    </r>
    <r>
      <rPr>
        <b/>
        <sz val="11"/>
        <color rgb="FFFF0000"/>
        <rFont val="Calibri"/>
        <family val="2"/>
        <scheme val="minor"/>
      </rPr>
      <t>S</t>
    </r>
    <r>
      <rPr>
        <sz val="11"/>
        <color theme="1"/>
        <rFont val="Calibri"/>
        <family val="2"/>
        <scheme val="minor"/>
      </rPr>
      <t xml:space="preserve">TOCK </t>
    </r>
    <r>
      <rPr>
        <b/>
        <sz val="11"/>
        <color rgb="FFFF0000"/>
        <rFont val="Calibri"/>
        <family val="2"/>
        <scheme val="minor"/>
      </rPr>
      <t>E</t>
    </r>
    <r>
      <rPr>
        <sz val="11"/>
        <color theme="1"/>
        <rFont val="Calibri"/>
        <family val="2"/>
        <scheme val="minor"/>
      </rPr>
      <t>XCHANGE</t>
    </r>
  </si>
  <si>
    <t>Current time:</t>
  </si>
  <si>
    <t>RULE CHECK</t>
  </si>
  <si>
    <t>Input time ---&gt;</t>
  </si>
  <si>
    <t>C</t>
  </si>
  <si>
    <t>CD</t>
  </si>
  <si>
    <t>SIP</t>
  </si>
  <si>
    <t>XD</t>
  </si>
  <si>
    <t>Ex Dividend</t>
  </si>
  <si>
    <t>XSS</t>
  </si>
  <si>
    <t>S</t>
  </si>
  <si>
    <t>XO</t>
  </si>
  <si>
    <t>XR</t>
  </si>
  <si>
    <t>SUSP</t>
  </si>
  <si>
    <t>Ex Rights</t>
  </si>
  <si>
    <t>PXD</t>
  </si>
  <si>
    <t>H</t>
  </si>
  <si>
    <t>CI</t>
  </si>
  <si>
    <t>XI</t>
  </si>
  <si>
    <t>Ex Interest</t>
  </si>
  <si>
    <t>HRS</t>
  </si>
  <si>
    <t>Halt due to Circuit Breaker Triggered</t>
  </si>
  <si>
    <t>CBR</t>
  </si>
  <si>
    <t>Circuit Breaker</t>
  </si>
  <si>
    <t>NGD</t>
  </si>
  <si>
    <t>CBA</t>
  </si>
  <si>
    <t>RIO</t>
  </si>
  <si>
    <t>BUMI ARMADA</t>
  </si>
  <si>
    <t>SAPURA ENERGY</t>
  </si>
  <si>
    <t>VORTEX CONSOLIDA</t>
  </si>
  <si>
    <t>BUMI</t>
  </si>
  <si>
    <t>LLOY</t>
  </si>
  <si>
    <t>BAR</t>
  </si>
  <si>
    <t>VOD</t>
  </si>
  <si>
    <t>AMD</t>
  </si>
  <si>
    <t>AAPL</t>
  </si>
  <si>
    <t>F</t>
  </si>
  <si>
    <t>APL</t>
  </si>
  <si>
    <t>MAX</t>
  </si>
  <si>
    <t>MAX METAL CORP</t>
  </si>
  <si>
    <t>Y92</t>
  </si>
  <si>
    <t>5GJ</t>
  </si>
  <si>
    <t>THAIBEV</t>
  </si>
  <si>
    <t>$ SINOCLOUD</t>
  </si>
  <si>
    <t>AUSGROUP</t>
  </si>
  <si>
    <t>S51</t>
  </si>
  <si>
    <t>SEMBCORP MARINE</t>
  </si>
  <si>
    <t>A50</t>
  </si>
  <si>
    <t>THOMSON MEDICAL</t>
  </si>
  <si>
    <t>COSCO SHIPPING</t>
  </si>
  <si>
    <t>HUA XIN CEMENT</t>
  </si>
  <si>
    <t>NISSAN MOTOR C</t>
  </si>
  <si>
    <t>MIZUHO FINACI</t>
  </si>
  <si>
    <t>FB</t>
  </si>
  <si>
    <t>MENANG CORPN</t>
  </si>
  <si>
    <t>ACES</t>
  </si>
  <si>
    <t>PUDONG DEV</t>
  </si>
  <si>
    <t>AR</t>
  </si>
  <si>
    <t>KODK</t>
  </si>
  <si>
    <t>ALI</t>
  </si>
  <si>
    <t>CNNU</t>
  </si>
  <si>
    <t>O87</t>
  </si>
  <si>
    <t>CROMWELLREIT EUR</t>
  </si>
  <si>
    <t>GLD US$</t>
  </si>
  <si>
    <t>BAC</t>
  </si>
  <si>
    <t>QAN</t>
  </si>
  <si>
    <t>O39</t>
  </si>
  <si>
    <t>OCBC BANK</t>
  </si>
  <si>
    <t>BABA</t>
  </si>
  <si>
    <t>OUE COM REIT</t>
  </si>
  <si>
    <t>TS0U</t>
  </si>
  <si>
    <t>N6M</t>
  </si>
  <si>
    <t>IS ASIA BND US$</t>
  </si>
  <si>
    <t>AST</t>
  </si>
  <si>
    <t>NIO</t>
  </si>
  <si>
    <t>INTC</t>
  </si>
  <si>
    <t>QQQ</t>
  </si>
  <si>
    <t>MSFT</t>
  </si>
  <si>
    <t>DPW</t>
  </si>
  <si>
    <t>NOG</t>
  </si>
  <si>
    <t>NORTHERN OIL&amp;GAS</t>
  </si>
  <si>
    <t>ALT GLBL HLD ORD</t>
  </si>
  <si>
    <t>MPI</t>
  </si>
  <si>
    <t>YITAI COAL-B</t>
  </si>
  <si>
    <t>AT</t>
  </si>
  <si>
    <t>PFE</t>
  </si>
  <si>
    <t>AUTO</t>
  </si>
  <si>
    <t>BIIB</t>
  </si>
  <si>
    <t>F9D</t>
  </si>
  <si>
    <t>D05</t>
  </si>
  <si>
    <t>F99</t>
  </si>
  <si>
    <t>F13</t>
  </si>
  <si>
    <t>OV8</t>
  </si>
  <si>
    <t>U11</t>
  </si>
  <si>
    <t>U14</t>
  </si>
  <si>
    <t>BN2</t>
  </si>
  <si>
    <t>$ SANTAK</t>
  </si>
  <si>
    <t>BOUSTEAD</t>
  </si>
  <si>
    <t>DBS</t>
  </si>
  <si>
    <t>F &amp; N</t>
  </si>
  <si>
    <t>FU YU</t>
  </si>
  <si>
    <t>SHENG SIONG</t>
  </si>
  <si>
    <t>UMS</t>
  </si>
  <si>
    <t>UOB</t>
  </si>
  <si>
    <t>UOL</t>
  </si>
  <si>
    <t>VALUETRONICS</t>
  </si>
  <si>
    <t>FVRR</t>
  </si>
  <si>
    <t>AWX</t>
  </si>
  <si>
    <t>BS6</t>
  </si>
  <si>
    <t>YZJ SHIPBLDG SGD</t>
  </si>
  <si>
    <t>AEM</t>
  </si>
  <si>
    <t>LJ3</t>
  </si>
  <si>
    <t>Z74</t>
  </si>
  <si>
    <t>F34</t>
  </si>
  <si>
    <t>AUE</t>
  </si>
  <si>
    <t>OUE</t>
  </si>
  <si>
    <t>SINGTEL</t>
  </si>
  <si>
    <t>OCEANUS^</t>
  </si>
  <si>
    <t>WILMAR INTL</t>
  </si>
  <si>
    <t>GOLDEN ENERGY</t>
  </si>
  <si>
    <t>ITRM</t>
  </si>
  <si>
    <t>TQQQ</t>
  </si>
  <si>
    <t>WORK</t>
  </si>
  <si>
    <t>IMAS</t>
  </si>
  <si>
    <t>M03</t>
  </si>
  <si>
    <t>U09</t>
  </si>
  <si>
    <t>Q0F</t>
  </si>
  <si>
    <t>UD2</t>
  </si>
  <si>
    <t>VL6</t>
  </si>
  <si>
    <t>5UX</t>
  </si>
  <si>
    <t>OYY</t>
  </si>
  <si>
    <t>U77</t>
  </si>
  <si>
    <t>C6L</t>
  </si>
  <si>
    <t>CC3</t>
  </si>
  <si>
    <t>E3B</t>
  </si>
  <si>
    <t>AXB</t>
  </si>
  <si>
    <t>BQF</t>
  </si>
  <si>
    <t>S08</t>
  </si>
  <si>
    <t>BKX</t>
  </si>
  <si>
    <t>J91U</t>
  </si>
  <si>
    <t>H15</t>
  </si>
  <si>
    <t>O08</t>
  </si>
  <si>
    <t>C8R</t>
  </si>
  <si>
    <t>5WH</t>
  </si>
  <si>
    <t>A31</t>
  </si>
  <si>
    <t>J17</t>
  </si>
  <si>
    <t>S68</t>
  </si>
  <si>
    <t>XZL</t>
  </si>
  <si>
    <t>D01</t>
  </si>
  <si>
    <t>5A1B</t>
  </si>
  <si>
    <t>5VJ</t>
  </si>
  <si>
    <t>FQ7</t>
  </si>
  <si>
    <t>$ 3CNERGY</t>
  </si>
  <si>
    <t>$ MIYOSHI</t>
  </si>
  <si>
    <t>AVARGA</t>
  </si>
  <si>
    <t>IHH</t>
  </si>
  <si>
    <t>JAPFA</t>
  </si>
  <si>
    <t>KOUFU</t>
  </si>
  <si>
    <t>OXLEY</t>
  </si>
  <si>
    <t>PROPNEX</t>
  </si>
  <si>
    <t>SARINE TECH</t>
  </si>
  <si>
    <t>SIA</t>
  </si>
  <si>
    <t>STARHUB</t>
  </si>
  <si>
    <t>WEE HUR</t>
  </si>
  <si>
    <t>YONGNAM</t>
  </si>
  <si>
    <t>XMH^</t>
  </si>
  <si>
    <t>YONGMAO</t>
  </si>
  <si>
    <t>ESR-REIT</t>
  </si>
  <si>
    <t>HPL</t>
  </si>
  <si>
    <t>OASSIA INTL^</t>
  </si>
  <si>
    <t>$ JIUTIAN CHEMICAL</t>
  </si>
  <si>
    <t>$ REX INTL</t>
  </si>
  <si>
    <t>ADDVALUE TECH</t>
  </si>
  <si>
    <t>DUTY FREE INTL</t>
  </si>
  <si>
    <t>DUTY FREE INTL W220513</t>
  </si>
  <si>
    <t>JACKSPEED</t>
  </si>
  <si>
    <t>ARA HTRUST USD</t>
  </si>
  <si>
    <t>ASTREA V385%B290620#</t>
  </si>
  <si>
    <t>HALCYON AGRI</t>
  </si>
  <si>
    <t>JASPER INV</t>
  </si>
  <si>
    <t>SINGPOST</t>
  </si>
  <si>
    <t>T39</t>
  </si>
  <si>
    <t>SPH</t>
  </si>
  <si>
    <t>STP</t>
  </si>
  <si>
    <t>$ SILKROAD NICKEL</t>
  </si>
  <si>
    <t>C31</t>
  </si>
  <si>
    <t>CAPITALAND</t>
  </si>
  <si>
    <t>C52</t>
  </si>
  <si>
    <t>COMFORTDELGRO</t>
  </si>
  <si>
    <t>RE4</t>
  </si>
  <si>
    <t>GEO ENERGY RES</t>
  </si>
  <si>
    <t>95JW</t>
  </si>
  <si>
    <t>OCBC BK MB EPW211112</t>
  </si>
  <si>
    <t>JWRW</t>
  </si>
  <si>
    <t>OCBC BK MB EPW211115</t>
  </si>
  <si>
    <t>D9OT</t>
  </si>
  <si>
    <t>_xTEST DUMMY</t>
  </si>
  <si>
    <t>Z59</t>
  </si>
  <si>
    <t>YOMA STRATEGIC</t>
  </si>
  <si>
    <t>5EK</t>
  </si>
  <si>
    <t>_Xtest DUMMY</t>
  </si>
  <si>
    <t>SPY</t>
  </si>
  <si>
    <t>DFFW</t>
  </si>
  <si>
    <t>DMUW</t>
  </si>
  <si>
    <t>DKKW</t>
  </si>
  <si>
    <t>DBS 5XSHORTSG211105</t>
  </si>
  <si>
    <t>OCBC 5XLONGSG221201</t>
  </si>
  <si>
    <t>WARRANTS</t>
  </si>
  <si>
    <t>MSHW</t>
  </si>
  <si>
    <t>DOXW</t>
  </si>
  <si>
    <t>DFJW</t>
  </si>
  <si>
    <t>COMFORTDEL MBECW211018</t>
  </si>
  <si>
    <t>DBS 5XLONGSG211105</t>
  </si>
  <si>
    <t>OCBC 5XSHORTSG221201</t>
  </si>
  <si>
    <t>SIA 5XLONGSG230420</t>
  </si>
  <si>
    <t>BN4</t>
  </si>
  <si>
    <t>KEPPEL CORP</t>
  </si>
  <si>
    <t>C / CD</t>
  </si>
  <si>
    <t>S59</t>
  </si>
  <si>
    <t>SIA ENGINEERING</t>
  </si>
  <si>
    <t>STOCK</t>
  </si>
  <si>
    <t>DAIRYFARM USD</t>
  </si>
  <si>
    <t>CATALIST STOCK</t>
  </si>
  <si>
    <t>Lot Size</t>
  </si>
  <si>
    <t>Type</t>
  </si>
  <si>
    <t>Code</t>
  </si>
  <si>
    <t>Name</t>
  </si>
  <si>
    <t>BONDS</t>
  </si>
  <si>
    <t>PREFERRED SHARES</t>
  </si>
  <si>
    <t>RIGHTS</t>
  </si>
  <si>
    <t>YES</t>
  </si>
  <si>
    <t>NO</t>
  </si>
  <si>
    <t>5H0</t>
  </si>
  <si>
    <t>SINGHAIYI</t>
  </si>
  <si>
    <t>59XW</t>
  </si>
  <si>
    <t>SINGTELMBECW211018</t>
  </si>
  <si>
    <t>_210419_D9OT</t>
  </si>
  <si>
    <t>CHBW</t>
  </si>
  <si>
    <t>5SO</t>
  </si>
  <si>
    <t>Quick Search</t>
  </si>
  <si>
    <t>Input counter code</t>
  </si>
  <si>
    <t>----&gt;</t>
  </si>
  <si>
    <t>bumi</t>
  </si>
  <si>
    <t>qqq</t>
  </si>
  <si>
    <t>ETF</t>
  </si>
  <si>
    <t>ADR</t>
  </si>
  <si>
    <t>mpi</t>
  </si>
  <si>
    <t>max</t>
  </si>
  <si>
    <t>f34</t>
  </si>
  <si>
    <t>nog</t>
  </si>
  <si>
    <t>SearchCode</t>
  </si>
  <si>
    <t>AMEX</t>
  </si>
  <si>
    <t>BURSA</t>
  </si>
  <si>
    <t>HKG</t>
  </si>
  <si>
    <t>IDX</t>
  </si>
  <si>
    <t>PHS</t>
  </si>
  <si>
    <t>SSEA</t>
  </si>
  <si>
    <t>SSEB</t>
  </si>
  <si>
    <t>SZSE</t>
  </si>
  <si>
    <t>TSE</t>
  </si>
  <si>
    <t>THAI</t>
  </si>
  <si>
    <t>NASDAQ</t>
  </si>
  <si>
    <t>NYSE</t>
  </si>
  <si>
    <t>Quick Search:</t>
  </si>
  <si>
    <t>Fillable</t>
  </si>
  <si>
    <t>WFC</t>
  </si>
  <si>
    <t>VEUR</t>
  </si>
  <si>
    <t>S63</t>
  </si>
  <si>
    <t>ST ENGINEERING</t>
  </si>
  <si>
    <t>DHSW</t>
  </si>
  <si>
    <t>HSBC 5XLONGSG230920</t>
  </si>
  <si>
    <t>CYB</t>
  </si>
  <si>
    <t>ICBC CSOP CGB ETF US$D</t>
  </si>
  <si>
    <t>AJBU</t>
  </si>
  <si>
    <t>KEPPEL DC REIT</t>
  </si>
  <si>
    <t>K71U</t>
  </si>
  <si>
    <t>KEPPEL REIT</t>
  </si>
  <si>
    <t>ME8U</t>
  </si>
  <si>
    <t>MAPLETREE IND TR</t>
  </si>
  <si>
    <t>BCY</t>
  </si>
  <si>
    <t>POWERMATIC DATA</t>
  </si>
  <si>
    <t>DHJW</t>
  </si>
  <si>
    <t>SIA 5XSHORTSG220328</t>
  </si>
  <si>
    <t>5TY</t>
  </si>
  <si>
    <t>$ ADVANCED SYSTEMS</t>
  </si>
  <si>
    <t>43E</t>
  </si>
  <si>
    <t>$ CWX GLOBAL</t>
  </si>
  <si>
    <t>41T</t>
  </si>
  <si>
    <t>$ GCCP</t>
  </si>
  <si>
    <t>CHINASUNSINE</t>
  </si>
  <si>
    <t>G13</t>
  </si>
  <si>
    <t>GENTING SING</t>
  </si>
  <si>
    <t>I0Y</t>
  </si>
  <si>
    <t>ISDN</t>
  </si>
  <si>
    <t>UV1</t>
  </si>
  <si>
    <t>REGAL INTL</t>
  </si>
  <si>
    <t>RAKUTEN GROUP</t>
  </si>
  <si>
    <t>BERJAYA CORP</t>
  </si>
  <si>
    <t>CDC</t>
  </si>
  <si>
    <t>DJWW</t>
  </si>
  <si>
    <t>OCBC 5XSHORTSG211105</t>
  </si>
  <si>
    <t>O10</t>
  </si>
  <si>
    <t>FAR EAST ORCHARD</t>
  </si>
  <si>
    <t>BTJ</t>
  </si>
  <si>
    <t>A-SONIC AERO^</t>
  </si>
  <si>
    <t>TSLA</t>
  </si>
  <si>
    <t>E5H</t>
  </si>
  <si>
    <t>GOLDEN AGRI-RES</t>
  </si>
  <si>
    <t>TRUE CORPORATI</t>
  </si>
  <si>
    <t>FREN</t>
  </si>
  <si>
    <t>LQFW</t>
  </si>
  <si>
    <t>OCBC BK MB ECW210510</t>
  </si>
  <si>
    <t>_200713_AKRX</t>
  </si>
  <si>
    <t>_x**SEE&lt;AKRXQPK&gt;</t>
  </si>
  <si>
    <t>C / XD</t>
  </si>
  <si>
    <t>QES</t>
  </si>
  <si>
    <t>BAILIAN-B</t>
  </si>
  <si>
    <t>360 SECURITY</t>
  </si>
  <si>
    <t>VMS</t>
  </si>
  <si>
    <t>HUAYI GROUP-B</t>
  </si>
  <si>
    <t>MAYBANK BHD</t>
  </si>
  <si>
    <t>GUOCOLAND MSIA</t>
  </si>
  <si>
    <t>1B0</t>
  </si>
  <si>
    <t>MM2 ASIA</t>
  </si>
  <si>
    <t>TWTR</t>
  </si>
  <si>
    <t>TMB</t>
  </si>
  <si>
    <t>TMB BANK</t>
  </si>
  <si>
    <t>UCREST BERHAD</t>
  </si>
  <si>
    <t>BOIL</t>
  </si>
  <si>
    <t>MRD</t>
  </si>
  <si>
    <t>AMBO</t>
  </si>
  <si>
    <t>AMBOW EDUCATION</t>
  </si>
  <si>
    <t>0175</t>
  </si>
  <si>
    <t>5LY</t>
  </si>
  <si>
    <t>MARCOPOLO MARINE</t>
  </si>
  <si>
    <t>$ VCPLUS</t>
  </si>
  <si>
    <t>MINDA GLOBAL BHD</t>
  </si>
  <si>
    <t>GE</t>
  </si>
  <si>
    <t>KEY</t>
  </si>
  <si>
    <t>BAOSIGHT</t>
  </si>
  <si>
    <t>BARC</t>
  </si>
  <si>
    <t>PREM</t>
  </si>
  <si>
    <t>IRPC</t>
  </si>
  <si>
    <t>AVALON HOLDINGS</t>
  </si>
  <si>
    <t>ISR</t>
  </si>
  <si>
    <t>ISORAY</t>
  </si>
  <si>
    <t>CSCO</t>
  </si>
  <si>
    <t>MRO</t>
  </si>
  <si>
    <t>GOLD</t>
  </si>
  <si>
    <t>41H</t>
  </si>
  <si>
    <t>$ BLACKGOLDNATURAL</t>
  </si>
  <si>
    <t>SNAP</t>
  </si>
  <si>
    <t>MTNB</t>
  </si>
  <si>
    <t>MATINAS BIOPHRMA</t>
  </si>
  <si>
    <t>ITP</t>
  </si>
  <si>
    <t>IT TECH PACKAGNG</t>
  </si>
  <si>
    <t>BTG</t>
  </si>
  <si>
    <t>B2GOLD CORP</t>
  </si>
  <si>
    <t>VZ</t>
  </si>
  <si>
    <t>VALE</t>
  </si>
  <si>
    <t>TME</t>
  </si>
  <si>
    <t>H30</t>
  </si>
  <si>
    <t>HONG FOK</t>
  </si>
  <si>
    <t>$ GKE</t>
  </si>
  <si>
    <t>42T</t>
  </si>
  <si>
    <t>$ TRENDLINES</t>
  </si>
  <si>
    <t>KUO</t>
  </si>
  <si>
    <t>INTL CEMENT</t>
  </si>
  <si>
    <t>5AI</t>
  </si>
  <si>
    <t>$ P5 CAPITAL</t>
  </si>
  <si>
    <t>ROG</t>
  </si>
  <si>
    <t>PCL</t>
  </si>
  <si>
    <t>40E</t>
  </si>
  <si>
    <t>$ SPACKMAN</t>
  </si>
  <si>
    <t>VELA</t>
  </si>
  <si>
    <t>DTFW</t>
  </si>
  <si>
    <t>DBS 5XSHORTSG221201</t>
  </si>
  <si>
    <t>1J4</t>
  </si>
  <si>
    <t>$ JEP</t>
  </si>
  <si>
    <t>V2Y</t>
  </si>
  <si>
    <t>$ V2Y CORP</t>
  </si>
  <si>
    <t>H17</t>
  </si>
  <si>
    <t>_xHI-P</t>
  </si>
  <si>
    <t>Cum Dividend</t>
  </si>
  <si>
    <t>CPF tradeable</t>
  </si>
  <si>
    <t>BI</t>
  </si>
  <si>
    <t>CA</t>
  </si>
  <si>
    <t>CB</t>
  </si>
  <si>
    <t>Cum All</t>
  </si>
  <si>
    <t>Cum Bonus</t>
  </si>
  <si>
    <t>CE</t>
  </si>
  <si>
    <t>Cum Entitlement</t>
  </si>
  <si>
    <t>Cum Interest</t>
  </si>
  <si>
    <t>CIRB</t>
  </si>
  <si>
    <t>CIRH</t>
  </si>
  <si>
    <t>Circuit Breaker Halt</t>
  </si>
  <si>
    <t>CO</t>
  </si>
  <si>
    <t>CR</t>
  </si>
  <si>
    <t>CT</t>
  </si>
  <si>
    <t>CW</t>
  </si>
  <si>
    <t>Cum Offer</t>
  </si>
  <si>
    <t>Cum Rights</t>
  </si>
  <si>
    <t>Conditional Trading</t>
  </si>
  <si>
    <t>Conditional When Issued</t>
  </si>
  <si>
    <t>DL</t>
  </si>
  <si>
    <t>DeListed</t>
  </si>
  <si>
    <t>Trading Halt</t>
  </si>
  <si>
    <t>IMM</t>
  </si>
  <si>
    <t>IMMediate Delivery</t>
  </si>
  <si>
    <t>J</t>
  </si>
  <si>
    <t>MCE</t>
  </si>
  <si>
    <t>Mandatory Call Event</t>
  </si>
  <si>
    <t>PA</t>
  </si>
  <si>
    <t>Pending Announcement</t>
  </si>
  <si>
    <t>PL</t>
  </si>
  <si>
    <t>Pending Listing</t>
  </si>
  <si>
    <t>SC</t>
  </si>
  <si>
    <t>Scripless Conversion</t>
  </si>
  <si>
    <t>Indicator</t>
  </si>
  <si>
    <t>M</t>
  </si>
  <si>
    <t>Margin Counter</t>
  </si>
  <si>
    <t>Specified Investment Products Counter</t>
  </si>
  <si>
    <t>Suspended</t>
  </si>
  <si>
    <t>WI</t>
  </si>
  <si>
    <t>When Issued basis</t>
  </si>
  <si>
    <t>XA</t>
  </si>
  <si>
    <t>Ex All</t>
  </si>
  <si>
    <t>XB</t>
  </si>
  <si>
    <t>XE</t>
  </si>
  <si>
    <t>Ex Bonus</t>
  </si>
  <si>
    <t>Ex Entitlement</t>
  </si>
  <si>
    <t>Ex Offer</t>
  </si>
  <si>
    <t>Remark</t>
  </si>
  <si>
    <t>L</t>
  </si>
  <si>
    <t>CFD Long</t>
  </si>
  <si>
    <t>CFD Short</t>
  </si>
  <si>
    <t>LS</t>
  </si>
  <si>
    <t>CFD Long and Short</t>
  </si>
  <si>
    <t>Buy-In only</t>
  </si>
  <si>
    <t>E</t>
  </si>
  <si>
    <t>US ATP Short Account</t>
  </si>
  <si>
    <t>AdJust Phase</t>
  </si>
  <si>
    <t>SGX Counter Indicator / Remark</t>
  </si>
  <si>
    <t>Non SGX Counter Indicator / Remark</t>
  </si>
  <si>
    <t>Prior Ex Dividend</t>
  </si>
  <si>
    <t>BEE</t>
  </si>
  <si>
    <t>BGB</t>
  </si>
  <si>
    <t>CBB</t>
  </si>
  <si>
    <t>Ex Bonus, Ex Underwriting</t>
  </si>
  <si>
    <t>Reverse Split</t>
  </si>
  <si>
    <t>CBC</t>
  </si>
  <si>
    <t>Circuit Breaker L1</t>
  </si>
  <si>
    <t>Circuit Breaker L2</t>
  </si>
  <si>
    <t>Circuit Breaker L3</t>
  </si>
  <si>
    <t>CC</t>
  </si>
  <si>
    <t>CCR</t>
  </si>
  <si>
    <t>Cum Capitalisation</t>
  </si>
  <si>
    <t>Cum Capital Return</t>
  </si>
  <si>
    <t>CCV</t>
  </si>
  <si>
    <t>Cum Right of Conversion</t>
  </si>
  <si>
    <t>CL</t>
  </si>
  <si>
    <t>Call Due</t>
  </si>
  <si>
    <t>CLD</t>
  </si>
  <si>
    <t>Cum Liquid Distribution</t>
  </si>
  <si>
    <t>CLS</t>
  </si>
  <si>
    <t>Market Closed</t>
  </si>
  <si>
    <t>CM</t>
  </si>
  <si>
    <t>Cross Market</t>
  </si>
  <si>
    <t>CP</t>
  </si>
  <si>
    <t>Call Paid</t>
  </si>
  <si>
    <t>CPR</t>
  </si>
  <si>
    <t>Cum Premium Return</t>
  </si>
  <si>
    <t>CQ</t>
  </si>
  <si>
    <t>Closing Price Quote</t>
  </si>
  <si>
    <t>CQS</t>
  </si>
  <si>
    <t>Regular supplied by Consolidate Quotation</t>
  </si>
  <si>
    <t>CSR</t>
  </si>
  <si>
    <t>Sum Subscription Right</t>
  </si>
  <si>
    <t>CSS</t>
  </si>
  <si>
    <t>Cum Stock Split</t>
  </si>
  <si>
    <t>Ex Stock Split</t>
  </si>
  <si>
    <t>CTO</t>
  </si>
  <si>
    <t>Cum Takeover Offer</t>
  </si>
  <si>
    <t>Cum Warrants</t>
  </si>
  <si>
    <t>CXE</t>
  </si>
  <si>
    <t>Cum Ex Entitlement</t>
  </si>
  <si>
    <t>EA</t>
  </si>
  <si>
    <t>Ex Ausschuttung</t>
  </si>
  <si>
    <t>EBE</t>
  </si>
  <si>
    <t>Ex Dividend, Ex Underwriting</t>
  </si>
  <si>
    <t>EEB</t>
  </si>
  <si>
    <t>Ex Dividend, End Bonus</t>
  </si>
  <si>
    <t>EEE</t>
  </si>
  <si>
    <t>Ex Dividend, Ex Bonus, Ex Underwriting</t>
  </si>
  <si>
    <t>EGB</t>
  </si>
  <si>
    <t>Ex Dividend, Reverse Split</t>
  </si>
  <si>
    <t>EGE</t>
  </si>
  <si>
    <t>Ex Dividend, Reverse Split, Ex Underwriting</t>
  </si>
  <si>
    <t>EHB</t>
  </si>
  <si>
    <t>Ex Dividend, Bonus after Reverse Split</t>
  </si>
  <si>
    <t>Ex Dividend, Bonus after Reverse Split, Ex Underwriting</t>
  </si>
  <si>
    <t>EQP</t>
  </si>
  <si>
    <t>Trading Halt, Equiptment Changeover</t>
  </si>
  <si>
    <t>HAI</t>
  </si>
  <si>
    <t>IMB</t>
  </si>
  <si>
    <t>Trading Halt, Order Imbalance</t>
  </si>
  <si>
    <t>IND</t>
  </si>
  <si>
    <t>Indicated expected traded price</t>
  </si>
  <si>
    <t>IXD</t>
  </si>
  <si>
    <t>Interim Ex Dividends</t>
  </si>
  <si>
    <t>IXR</t>
  </si>
  <si>
    <t>Interim Ex Rights</t>
  </si>
  <si>
    <t>LM</t>
  </si>
  <si>
    <t>Locket market - NASDAQ Qualifier</t>
  </si>
  <si>
    <t>NQ</t>
  </si>
  <si>
    <t>No Quotation</t>
  </si>
  <si>
    <t>NXI</t>
  </si>
  <si>
    <t>New Ex Interest</t>
  </si>
  <si>
    <t>OQ</t>
  </si>
  <si>
    <t>Nominal Not Applicable</t>
  </si>
  <si>
    <t>OTH</t>
  </si>
  <si>
    <t>Others</t>
  </si>
  <si>
    <t>PIN</t>
  </si>
  <si>
    <t>Pending receipt of info requested by NASDAQ</t>
  </si>
  <si>
    <t>R</t>
  </si>
  <si>
    <t>Regular supplied by Consolidate Quotation System (CQS)</t>
  </si>
  <si>
    <t>RA</t>
  </si>
  <si>
    <t>Receiver Appointed (ASX &amp; NZSE)</t>
  </si>
  <si>
    <t>RCK</t>
  </si>
  <si>
    <t>Pre-market Open Nominal</t>
  </si>
  <si>
    <t>RE</t>
  </si>
  <si>
    <t>Reconstructed (ASX &amp; NZSE)</t>
  </si>
  <si>
    <t>Stabilisation Indicator Set</t>
  </si>
  <si>
    <t>Session Closed</t>
  </si>
  <si>
    <t>SUS</t>
  </si>
  <si>
    <t>TRE</t>
  </si>
  <si>
    <t>Long Quote</t>
  </si>
  <si>
    <t>Ex All (Vienna SE)</t>
  </si>
  <si>
    <t>XAJ</t>
  </si>
  <si>
    <t>Ex Adjustment</t>
  </si>
  <si>
    <t>XAR</t>
  </si>
  <si>
    <t>Ex Adjustment Right</t>
  </si>
  <si>
    <t>XAZ</t>
  </si>
  <si>
    <t>Ex Deficiency Payment</t>
  </si>
  <si>
    <t>XBR</t>
  </si>
  <si>
    <t>Ex Subscription (MATIS)</t>
  </si>
  <si>
    <t>XC</t>
  </si>
  <si>
    <t>Ex Capitalisation (Vienna SE)</t>
  </si>
  <si>
    <t>XCA</t>
  </si>
  <si>
    <t>Ex Corporate Action</t>
  </si>
  <si>
    <t>XCD</t>
  </si>
  <si>
    <t>Ex Cash Dividend</t>
  </si>
  <si>
    <t>XCR</t>
  </si>
  <si>
    <t>Ex Right of Conversion</t>
  </si>
  <si>
    <t>XDC</t>
  </si>
  <si>
    <t>Ex Dividend and Capitalisation</t>
  </si>
  <si>
    <t>XDD</t>
  </si>
  <si>
    <t>Ex Distribution of Dividend (Vienna SE)</t>
  </si>
  <si>
    <t>XDI</t>
  </si>
  <si>
    <t>Ex Dividend, Ex Capitalisation &amp; Ex Right</t>
  </si>
  <si>
    <t>XDR</t>
  </si>
  <si>
    <t>Ex Dividend and Right</t>
  </si>
  <si>
    <t>XDW</t>
  </si>
  <si>
    <t>Ex Dividend, Split</t>
  </si>
  <si>
    <t>XGR</t>
  </si>
  <si>
    <t>Ex Regrouping (Milan SE)</t>
  </si>
  <si>
    <t>XK</t>
  </si>
  <si>
    <t>Ex Coupon (Vienna SE)</t>
  </si>
  <si>
    <t>Ex Liquidation Distribution</t>
  </si>
  <si>
    <t>XLD</t>
  </si>
  <si>
    <t>XP</t>
  </si>
  <si>
    <t>Ex Part Repayment</t>
  </si>
  <si>
    <t>Ex Premium Return</t>
  </si>
  <si>
    <t>XPR</t>
  </si>
  <si>
    <t>XRC</t>
  </si>
  <si>
    <t>Ex Rights and Capitalisation</t>
  </si>
  <si>
    <t>XS</t>
  </si>
  <si>
    <t>Ex Settlement</t>
  </si>
  <si>
    <t>XSD</t>
  </si>
  <si>
    <t>Ex Stock Dividend</t>
  </si>
  <si>
    <t>XSR</t>
  </si>
  <si>
    <t>Ex Subscription Right</t>
  </si>
  <si>
    <t>XTO</t>
  </si>
  <si>
    <t>Ex Takeover Offer</t>
  </si>
  <si>
    <t>XV</t>
  </si>
  <si>
    <t>Ex Various</t>
  </si>
  <si>
    <t>XVC</t>
  </si>
  <si>
    <t>Ex Reverse Split, Capitalisation</t>
  </si>
  <si>
    <t>XW</t>
  </si>
  <si>
    <t>Ex Warrants</t>
  </si>
  <si>
    <t>XWC</t>
  </si>
  <si>
    <t>Ex Split, Capitalisation</t>
  </si>
  <si>
    <t>XZ</t>
  </si>
  <si>
    <t>Ex Drawing Rights</t>
  </si>
  <si>
    <t>Y03</t>
  </si>
  <si>
    <t>YEO HIAP SENG</t>
  </si>
  <si>
    <t>SUMITOMO CHEM</t>
  </si>
  <si>
    <t>Price</t>
  </si>
  <si>
    <t>Currency</t>
  </si>
  <si>
    <t>bar</t>
  </si>
  <si>
    <t>Fillable:</t>
  </si>
  <si>
    <t>Lot Size:</t>
  </si>
  <si>
    <t>ONTSU</t>
  </si>
  <si>
    <t>ZHONGYUAN UNIO</t>
  </si>
  <si>
    <t>PARTIAL</t>
  </si>
  <si>
    <t>EXCHANGE NAME</t>
  </si>
  <si>
    <t>NON DMA EXCHANGES</t>
  </si>
  <si>
    <t>January</t>
  </si>
  <si>
    <t>February</t>
  </si>
  <si>
    <t>March</t>
  </si>
  <si>
    <t>April</t>
  </si>
  <si>
    <t>May</t>
  </si>
  <si>
    <t>June</t>
  </si>
  <si>
    <t>July</t>
  </si>
  <si>
    <t>August</t>
  </si>
  <si>
    <t>September</t>
  </si>
  <si>
    <t>October</t>
  </si>
  <si>
    <t>November</t>
  </si>
  <si>
    <t>December</t>
  </si>
  <si>
    <t>Data</t>
  </si>
  <si>
    <t>New Years Day</t>
  </si>
  <si>
    <t>Martin Luther King, Jr Day</t>
  </si>
  <si>
    <t>Washington's Birthday</t>
  </si>
  <si>
    <t>Good Friday</t>
  </si>
  <si>
    <t>Memorial Day</t>
  </si>
  <si>
    <t>Independence Day</t>
  </si>
  <si>
    <t>Labor Day</t>
  </si>
  <si>
    <t>Thanksgiving Day</t>
  </si>
  <si>
    <t>Christmas Day</t>
  </si>
  <si>
    <t>Australia Day</t>
  </si>
  <si>
    <t>Easter</t>
  </si>
  <si>
    <t>Queen's Birthday</t>
  </si>
  <si>
    <t>Christmas</t>
  </si>
  <si>
    <t>Boxing Day</t>
  </si>
  <si>
    <t>Chinese New Year</t>
  </si>
  <si>
    <t>Qingming Festival</t>
  </si>
  <si>
    <t>Dragon Boat Festival</t>
  </si>
  <si>
    <t>Mid-Autumn Festival</t>
  </si>
  <si>
    <t>National Day</t>
  </si>
  <si>
    <t>Special Administrative Region Establishment Day</t>
  </si>
  <si>
    <t>Spring Festival</t>
  </si>
  <si>
    <t>Bank Holiday</t>
  </si>
  <si>
    <t>Eid al-Fitr</t>
  </si>
  <si>
    <t>Vesak Day</t>
  </si>
  <si>
    <t>Eid al-Adha</t>
  </si>
  <si>
    <t>Market Holiday</t>
  </si>
  <si>
    <t>Magha Puja</t>
  </si>
  <si>
    <t>Chakri Day</t>
  </si>
  <si>
    <t>Songkran Day</t>
  </si>
  <si>
    <t>Coronation Day</t>
  </si>
  <si>
    <t>H.M. King Bhumibol Adulyadej Memorial Day</t>
  </si>
  <si>
    <t>Chulalongkorn Day</t>
  </si>
  <si>
    <t>H.M. King's Birthday</t>
  </si>
  <si>
    <t>Constitution Day</t>
  </si>
  <si>
    <t>Isra and Mi'raj</t>
  </si>
  <si>
    <t>Pancasila Day</t>
  </si>
  <si>
    <t>Islamic New Year</t>
  </si>
  <si>
    <t>Thaipusam</t>
  </si>
  <si>
    <t>Federal Holiday</t>
  </si>
  <si>
    <t>Nuzul Al'Quran</t>
  </si>
  <si>
    <t>Workers' Day</t>
  </si>
  <si>
    <t>Harvest Festival</t>
  </si>
  <si>
    <t>Yang Dipertuan Agong's Birthday</t>
  </si>
  <si>
    <t>Malaysia Day</t>
  </si>
  <si>
    <t>Mawlid</t>
  </si>
  <si>
    <t>Diwali</t>
  </si>
  <si>
    <t>Revolution Day</t>
  </si>
  <si>
    <t>Maundy Thursday</t>
  </si>
  <si>
    <t>Araw ng Kagitingan</t>
  </si>
  <si>
    <t>National Heroes Day</t>
  </si>
  <si>
    <t>All Saints' Day</t>
  </si>
  <si>
    <t>All Souls' Day</t>
  </si>
  <si>
    <t>Bonifacio Day</t>
  </si>
  <si>
    <t>Feast of the Immaculate Conception</t>
  </si>
  <si>
    <t>Rizal Day</t>
  </si>
  <si>
    <t>Old Age Day</t>
  </si>
  <si>
    <t>Emperor's Birthday</t>
  </si>
  <si>
    <t>Vernal Equinox</t>
  </si>
  <si>
    <t>Showa Day</t>
  </si>
  <si>
    <t>Greenery Day</t>
  </si>
  <si>
    <t>Children's Day</t>
  </si>
  <si>
    <t>Marine Day</t>
  </si>
  <si>
    <t>Sports Day</t>
  </si>
  <si>
    <t>Mountain Day</t>
  </si>
  <si>
    <t>Autumnal Equinox</t>
  </si>
  <si>
    <t>Culture Day</t>
  </si>
  <si>
    <t>Workers's Day</t>
  </si>
  <si>
    <t>Today's Date:</t>
  </si>
  <si>
    <t>WEEK</t>
  </si>
  <si>
    <t>Daily</t>
  </si>
  <si>
    <t>5ek</t>
  </si>
  <si>
    <t>CD2</t>
  </si>
  <si>
    <t>Cum Dividend 2</t>
  </si>
  <si>
    <t>Monthly</t>
  </si>
  <si>
    <t>4 Apr - 3 Oct</t>
  </si>
  <si>
    <t>Local Time</t>
  </si>
  <si>
    <t>2021 Public holiday calendar Release</t>
  </si>
  <si>
    <t>v 1.5</t>
  </si>
  <si>
    <t>Only 2021 events is shown for now, despite being able to choose other years</t>
  </si>
  <si>
    <t>Automatic switching of DST times</t>
  </si>
  <si>
    <t>market status calculation is mostly complete</t>
  </si>
  <si>
    <t>Time PL</t>
  </si>
  <si>
    <t>BEHIND</t>
  </si>
  <si>
    <t>AHEAD</t>
  </si>
  <si>
    <t>iOCBC Time</t>
  </si>
  <si>
    <t>Event Type used in NOVA</t>
  </si>
  <si>
    <t>Corporate Action Event Common Names</t>
  </si>
  <si>
    <t>Bonus</t>
  </si>
  <si>
    <t>Bonus Issue</t>
  </si>
  <si>
    <t>Capital Distribution</t>
  </si>
  <si>
    <t>Cash Dividend</t>
  </si>
  <si>
    <t>Dividend / Cash Distribution</t>
  </si>
  <si>
    <t>Cash Offer</t>
  </si>
  <si>
    <t>Cash Offer / Takeover Offer</t>
  </si>
  <si>
    <t>Delisting</t>
  </si>
  <si>
    <t>Delisting (without proceeds)</t>
  </si>
  <si>
    <t>Dividend with Currency Option</t>
  </si>
  <si>
    <t>Dividend with Currency Election (Cash dividend with option to elect the currency)</t>
  </si>
  <si>
    <t>Dividend with Option</t>
  </si>
  <si>
    <t>Dividend Reinvestment Plan</t>
  </si>
  <si>
    <t>Dividend with Stock Reinvestment</t>
  </si>
  <si>
    <t>Exchange Offer</t>
  </si>
  <si>
    <t>Expiry of Warrants</t>
  </si>
  <si>
    <t>Warrants Exercise</t>
  </si>
  <si>
    <t>Fixed Income Coupon</t>
  </si>
  <si>
    <t>Interest Payment /Coupon Payment</t>
  </si>
  <si>
    <t>Mandatory Share Conversion</t>
  </si>
  <si>
    <t>Merger</t>
  </si>
  <si>
    <t>Redemption</t>
  </si>
  <si>
    <t>Redemption / Maturity</t>
  </si>
  <si>
    <t>Reverse Stock Split</t>
  </si>
  <si>
    <t>Rights Exercise</t>
  </si>
  <si>
    <t>Rights Subscription</t>
  </si>
  <si>
    <t>Rights Issue</t>
  </si>
  <si>
    <t>Rights Issue / Priority Offer / Preferential Offering</t>
  </si>
  <si>
    <t>Share Consolidation</t>
  </si>
  <si>
    <t>Share Consolidation / Stock Consolidation</t>
  </si>
  <si>
    <t>Spin-Off</t>
  </si>
  <si>
    <t>Stock Dividend</t>
  </si>
  <si>
    <t>Stock Dividend / Scrip Dividend</t>
  </si>
  <si>
    <t>Stock Split</t>
  </si>
  <si>
    <t>Tender Offer</t>
  </si>
  <si>
    <t>Takeover Offer / Dutch Auction Bid Tender Offer/ Miscellaneous Offer / Odd-lot Offer</t>
  </si>
  <si>
    <t>Other corporate actions</t>
  </si>
  <si>
    <t>(Stock custody movements that are not part of the above)</t>
  </si>
  <si>
    <t>Stock movement within stock transfer module in the client's account form NOVACAS. To check "Description" field.</t>
  </si>
  <si>
    <t>SZSE/B</t>
  </si>
  <si>
    <t>SSE B</t>
  </si>
  <si>
    <t>Market</t>
  </si>
  <si>
    <t>ALL MARKETS</t>
  </si>
  <si>
    <t>Corporate Actions</t>
  </si>
  <si>
    <t>SD</t>
  </si>
  <si>
    <t>RSO</t>
  </si>
  <si>
    <t>RSI</t>
  </si>
  <si>
    <t>RI</t>
  </si>
  <si>
    <t>SSO</t>
  </si>
  <si>
    <t>SSI</t>
  </si>
  <si>
    <t>SCO</t>
  </si>
  <si>
    <t>SCI</t>
  </si>
  <si>
    <t>RVO</t>
  </si>
  <si>
    <t>RVI</t>
  </si>
  <si>
    <t>EWO</t>
  </si>
  <si>
    <t>EWI</t>
  </si>
  <si>
    <t>TD</t>
  </si>
  <si>
    <t>TI</t>
  </si>
  <si>
    <t>TO</t>
  </si>
  <si>
    <t>DC</t>
  </si>
  <si>
    <t>DRC</t>
  </si>
  <si>
    <t>DRS</t>
  </si>
  <si>
    <t>DSC</t>
  </si>
  <si>
    <t>DSS</t>
  </si>
  <si>
    <t>EOO</t>
  </si>
  <si>
    <t>EOI</t>
  </si>
  <si>
    <t>IPFI</t>
  </si>
  <si>
    <t>MSO</t>
  </si>
  <si>
    <t>MSI</t>
  </si>
  <si>
    <t>MGC</t>
  </si>
  <si>
    <t>MGO</t>
  </si>
  <si>
    <t>MGI</t>
  </si>
  <si>
    <t>RD</t>
  </si>
  <si>
    <t>SO</t>
  </si>
  <si>
    <t>OTO</t>
  </si>
  <si>
    <t>OTI</t>
  </si>
  <si>
    <t>SQO</t>
  </si>
  <si>
    <t>SQI</t>
  </si>
  <si>
    <t>SAR</t>
  </si>
  <si>
    <t>MWO</t>
  </si>
  <si>
    <t>MWI</t>
  </si>
  <si>
    <t>MAR</t>
  </si>
  <si>
    <t>Merger with Cash</t>
  </si>
  <si>
    <t>Share consolidation Transfer In</t>
  </si>
  <si>
    <t>Share consolidation Transfer Out</t>
  </si>
  <si>
    <t>Stock Split Transfer In</t>
  </si>
  <si>
    <t>Stock Split Transfer Out</t>
  </si>
  <si>
    <t>Share Transfer In</t>
  </si>
  <si>
    <t>Share Transfer Out</t>
  </si>
  <si>
    <t xml:space="preserve">Bonus </t>
  </si>
  <si>
    <t xml:space="preserve">Cash Dividend </t>
  </si>
  <si>
    <t xml:space="preserve">Cash Offer </t>
  </si>
  <si>
    <t xml:space="preserve">Dividend with Currency Option </t>
  </si>
  <si>
    <t xml:space="preserve">Dividend with Option </t>
  </si>
  <si>
    <t xml:space="preserve">Dividend with Stock Reinvestment </t>
  </si>
  <si>
    <t xml:space="preserve">Expiry of Warrants </t>
  </si>
  <si>
    <t xml:space="preserve">Fixed Income Coupon </t>
  </si>
  <si>
    <t>Coupon Payment</t>
  </si>
  <si>
    <t xml:space="preserve">Redemption </t>
  </si>
  <si>
    <t xml:space="preserve">Reverse Split </t>
  </si>
  <si>
    <t>Scrip Dividend</t>
  </si>
  <si>
    <t>Tender offer</t>
  </si>
  <si>
    <t>Dutch Auction</t>
  </si>
  <si>
    <t>Bid Offer</t>
  </si>
  <si>
    <t>Manual adjusts realized PL</t>
  </si>
  <si>
    <t>System adjusts realized PL</t>
  </si>
  <si>
    <t>Dividend</t>
  </si>
  <si>
    <t>Takeover Offer</t>
  </si>
  <si>
    <t>Dividend with Currency Election</t>
  </si>
  <si>
    <t>Dividend Reinvestment Plan (with Cash election)</t>
  </si>
  <si>
    <t>Dividend Reinvestment Plan (with Stock election)</t>
  </si>
  <si>
    <t>Interest Payment</t>
  </si>
  <si>
    <t>Maturity</t>
  </si>
  <si>
    <t>Cash Distribution</t>
  </si>
  <si>
    <t xml:space="preserve">Exchange Offer </t>
  </si>
  <si>
    <t xml:space="preserve">Merger with Stock </t>
  </si>
  <si>
    <t xml:space="preserve">Mandatory Share Conversion </t>
  </si>
  <si>
    <t xml:space="preserve">Manual adjusts wap </t>
  </si>
  <si>
    <t xml:space="preserve">Other corporate actions </t>
  </si>
  <si>
    <t xml:space="preserve">Rights subscription </t>
  </si>
  <si>
    <t>Transfer In</t>
  </si>
  <si>
    <t>Transfer Out</t>
  </si>
  <si>
    <t>Warrants exercise</t>
  </si>
  <si>
    <t>System adjusts quantity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</si>
</sst>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165" formatCode="_-[$₱-3409]* #,##0.00_-;\-[$₱-3409]* #,##0.00_-;_-[$₱-3409]* &quot;-&quot;??_-;_-@_-"/>
    <numFmt numFmtId="171" formatCode="_ [$¥-804]* #,##0.00_ ;_ [$¥-804]* \-#,##0.00_ ;_ [$¥-804]* &quot;-&quot;??_ ;_ @_ "/>
    <numFmt numFmtId="174" formatCode="_-[$$-3C09]* #,##0.00_-;\-[$$-3C09]* #,##0.00_-;_-[$$-3C09]* &quot;-&quot;??_-;_-@_-"/>
    <numFmt numFmtId="176" formatCode="_-[$$-C09]* #,##0.00_-;\-[$$-C09]* #,##0.00_-;_-[$$-C09]* &quot;-&quot;??_-;_-@_-"/>
    <numFmt numFmtId="179" formatCode="_-[$$-1004]* #,##0.00_-;\-[$$-1004]* #,##0.00_-;_-[$$-1004]* &quot;-&quot;??_-;_-@_-"/>
    <numFmt numFmtId="181" formatCode="_([$$-409]* #,##0.00_);_([$$-409]* \(#,##0.00\);_([$$-409]* &quot;-&quot;??_);_(@_)"/>
    <numFmt numFmtId="184" formatCode="dd/mm/yyyy;@"/>
    <numFmt numFmtId="185" formatCode="_-[$£-809]* #,##0.00_-;\-[$£-809]* #,##0.00_-;_-[$£-809]* &quot;-&quot;??_-;_-@_-"/>
    <numFmt numFmtId="186" formatCode="_-[$HKD]\ * #,##0.00_-;\-[$HKD]\ * #,##0.00_-;_-[$HKD]\ * &quot;-&quot;??_-;_-@_-"/>
    <numFmt numFmtId="187" formatCode="_-[$Rp-421]* #,##0.00_-;\-[$Rp-421]* #,##0.00_-;_-[$Rp-421]* &quot;-&quot;??_-;_-@_-"/>
    <numFmt numFmtId="188" formatCode="_-[$RM-4409]* #,##0.00_-;\-[$RM-4409]* #,##0.00_-;_-[$RM-4409]* &quot;-&quot;??_-;_-@_-"/>
    <numFmt numFmtId="189" formatCode="0000"/>
    <numFmt numFmtId="190" formatCode="000000"/>
  </numFmts>
  <fonts count="17" x14ac:knownFonts="1">
    <font>
      <sz val="11"/>
      <color theme="1"/>
      <name val="Calibri"/>
      <family val="2"/>
      <scheme val="minor"/>
    </font>
    <font>
      <sz val="11"/>
      <color theme="1"/>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b/>
      <sz val="11"/>
      <color rgb="FF3F3F3F"/>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b/>
      <sz val="11"/>
      <color rgb="FFFF0000"/>
      <name val="Calibri"/>
      <family val="2"/>
      <scheme val="minor"/>
    </font>
    <font>
      <strike/>
      <sz val="11"/>
      <color theme="1"/>
      <name val="Calibri"/>
      <family val="2"/>
      <scheme val="minor"/>
    </font>
    <font>
      <b/>
      <sz val="9"/>
      <color indexed="81"/>
      <name val="Tahoma"/>
      <family val="2"/>
    </font>
    <font>
      <sz val="11"/>
      <name val="Calibri"/>
      <family val="2"/>
      <scheme val="minor"/>
    </font>
    <font>
      <u/>
      <sz val="11"/>
      <color theme="10"/>
      <name val="Calibri"/>
      <family val="2"/>
      <scheme val="minor"/>
    </font>
    <font>
      <b/>
      <sz val="11"/>
      <name val="Calibri"/>
      <family val="2"/>
      <scheme val="minor"/>
    </font>
    <font>
      <sz val="8"/>
      <name val="Calibri"/>
      <family val="2"/>
      <scheme val="minor"/>
    </font>
    <font>
      <b/>
      <u/>
      <sz val="11"/>
      <color theme="1"/>
      <name val="Calibri"/>
      <family val="2"/>
      <scheme val="minor"/>
    </font>
  </fonts>
  <fills count="10">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2F2F2"/>
      </patternFill>
    </fill>
    <fill>
      <patternFill patternType="solid">
        <fgColor theme="6" tint="0.59999389629810485"/>
        <bgColor indexed="65"/>
      </patternFill>
    </fill>
    <fill>
      <patternFill patternType="solid">
        <fgColor theme="0" tint="-0.14999847407452621"/>
        <bgColor indexed="64"/>
      </patternFill>
    </fill>
    <fill>
      <patternFill patternType="solid">
        <fgColor theme="0" tint="-0.249977111117893"/>
        <bgColor indexed="64"/>
      </patternFill>
    </fill>
    <fill>
      <patternFill patternType="solid">
        <fgColor rgb="FFFFFF00"/>
        <bgColor indexed="64"/>
      </patternFill>
    </fill>
  </fills>
  <borders count="49">
    <border>
      <left/>
      <right/>
      <top/>
      <bottom/>
      <diagonal/>
    </border>
    <border>
      <left style="thin">
        <color rgb="FF3F3F3F"/>
      </left>
      <right style="thin">
        <color rgb="FF3F3F3F"/>
      </right>
      <top style="thin">
        <color rgb="FF3F3F3F"/>
      </top>
      <bottom style="thin">
        <color rgb="FF3F3F3F"/>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
      <left/>
      <right/>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rgb="FFFF0000"/>
      </left>
      <right/>
      <top style="medium">
        <color rgb="FFFF0000"/>
      </top>
      <bottom style="medium">
        <color rgb="FFFF0000"/>
      </bottom>
      <diagonal/>
    </border>
    <border>
      <left/>
      <right/>
      <top style="medium">
        <color rgb="FFFF0000"/>
      </top>
      <bottom style="medium">
        <color rgb="FFFF0000"/>
      </bottom>
      <diagonal/>
    </border>
    <border>
      <left/>
      <right style="medium">
        <color rgb="FFFF0000"/>
      </right>
      <top style="medium">
        <color rgb="FFFF0000"/>
      </top>
      <bottom style="medium">
        <color rgb="FFFF0000"/>
      </bottom>
      <diagonal/>
    </border>
    <border>
      <left style="medium">
        <color rgb="FFFF0000"/>
      </left>
      <right style="thin">
        <color indexed="64"/>
      </right>
      <top style="medium">
        <color rgb="FFFF0000"/>
      </top>
      <bottom/>
      <diagonal/>
    </border>
    <border>
      <left style="thin">
        <color indexed="64"/>
      </left>
      <right style="thin">
        <color indexed="64"/>
      </right>
      <top style="medium">
        <color rgb="FFFF0000"/>
      </top>
      <bottom/>
      <diagonal/>
    </border>
    <border>
      <left style="thin">
        <color indexed="64"/>
      </left>
      <right style="medium">
        <color rgb="FFFF0000"/>
      </right>
      <top style="medium">
        <color rgb="FFFF0000"/>
      </top>
      <bottom/>
      <diagonal/>
    </border>
    <border>
      <left style="medium">
        <color rgb="FFFF0000"/>
      </left>
      <right/>
      <top style="medium">
        <color indexed="64"/>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rgb="FFFF0000"/>
      </right>
      <top style="medium">
        <color indexed="64"/>
      </top>
      <bottom/>
      <diagonal/>
    </border>
    <border>
      <left style="medium">
        <color rgb="FFFF0000"/>
      </left>
      <right style="medium">
        <color indexed="64"/>
      </right>
      <top style="medium">
        <color indexed="64"/>
      </top>
      <bottom style="medium">
        <color indexed="64"/>
      </bottom>
      <diagonal/>
    </border>
    <border>
      <left style="medium">
        <color indexed="64"/>
      </left>
      <right style="medium">
        <color rgb="FFFF0000"/>
      </right>
      <top style="medium">
        <color indexed="64"/>
      </top>
      <bottom style="medium">
        <color indexed="64"/>
      </bottom>
      <diagonal/>
    </border>
    <border>
      <left style="medium">
        <color rgb="FFFF0000"/>
      </left>
      <right/>
      <top/>
      <bottom/>
      <diagonal/>
    </border>
    <border>
      <left/>
      <right style="medium">
        <color rgb="FFFF0000"/>
      </right>
      <top/>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rgb="FFFF0000"/>
      </left>
      <right/>
      <top/>
      <bottom style="medium">
        <color rgb="FFFF0000"/>
      </bottom>
      <diagonal/>
    </border>
    <border>
      <left/>
      <right/>
      <top/>
      <bottom style="medium">
        <color rgb="FFFF0000"/>
      </bottom>
      <diagonal/>
    </border>
    <border>
      <left style="medium">
        <color indexed="64"/>
      </left>
      <right style="thin">
        <color indexed="64"/>
      </right>
      <top style="medium">
        <color indexed="64"/>
      </top>
      <bottom style="medium">
        <color rgb="FFFF0000"/>
      </bottom>
      <diagonal/>
    </border>
    <border>
      <left style="thin">
        <color indexed="64"/>
      </left>
      <right style="medium">
        <color indexed="64"/>
      </right>
      <top style="medium">
        <color indexed="64"/>
      </top>
      <bottom style="medium">
        <color rgb="FFFF0000"/>
      </bottom>
      <diagonal/>
    </border>
    <border>
      <left/>
      <right style="medium">
        <color rgb="FFFF0000"/>
      </right>
      <top/>
      <bottom style="medium">
        <color rgb="FFFF0000"/>
      </bottom>
      <diagonal/>
    </border>
    <border>
      <left/>
      <right style="thin">
        <color indexed="64"/>
      </right>
      <top style="thin">
        <color indexed="64"/>
      </top>
      <bottom/>
      <diagonal/>
    </border>
    <border>
      <left/>
      <right style="thin">
        <color indexed="64"/>
      </right>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right/>
      <top style="medium">
        <color indexed="64"/>
      </top>
      <bottom/>
      <diagonal/>
    </border>
    <border>
      <left style="medium">
        <color indexed="64"/>
      </left>
      <right/>
      <top/>
      <bottom/>
      <diagonal/>
    </border>
    <border>
      <left/>
      <right/>
      <top/>
      <bottom style="medium">
        <color indexed="64"/>
      </bottom>
      <diagonal/>
    </border>
    <border>
      <left style="medium">
        <color indexed="64"/>
      </left>
      <right style="medium">
        <color indexed="64"/>
      </right>
      <top/>
      <bottom/>
      <diagonal/>
    </border>
    <border>
      <left/>
      <right style="thin">
        <color indexed="64"/>
      </right>
      <top style="thin">
        <color indexed="64"/>
      </top>
      <bottom style="thin">
        <color indexed="64"/>
      </bottom>
      <diagonal/>
    </border>
    <border>
      <left/>
      <right style="medium">
        <color indexed="64"/>
      </right>
      <top/>
      <bottom/>
      <diagonal/>
    </border>
  </borders>
  <cellStyleXfs count="9">
    <xf numFmtId="0" fontId="0" fillId="0" borderId="0"/>
    <xf numFmtId="0" fontId="2" fillId="2" borderId="0" applyNumberFormat="0" applyBorder="0" applyAlignment="0" applyProtection="0"/>
    <xf numFmtId="0" fontId="3" fillId="3" borderId="0" applyNumberFormat="0" applyBorder="0" applyAlignment="0" applyProtection="0"/>
    <xf numFmtId="0" fontId="4" fillId="4" borderId="0" applyNumberFormat="0" applyBorder="0" applyAlignment="0" applyProtection="0"/>
    <xf numFmtId="0" fontId="5" fillId="5" borderId="1" applyNumberFormat="0" applyAlignment="0" applyProtection="0"/>
    <xf numFmtId="0" fontId="7" fillId="0" borderId="0" applyNumberFormat="0" applyFill="0" applyBorder="0" applyAlignment="0" applyProtection="0"/>
    <xf numFmtId="0" fontId="1" fillId="6" borderId="0" applyNumberFormat="0" applyBorder="0" applyAlignment="0" applyProtection="0"/>
    <xf numFmtId="0" fontId="1" fillId="0" borderId="0">
      <alignment horizontal="center" vertical="center"/>
    </xf>
    <xf numFmtId="0" fontId="13" fillId="0" borderId="0" applyNumberFormat="0" applyFill="0" applyBorder="0" applyAlignment="0" applyProtection="0"/>
  </cellStyleXfs>
  <cellXfs count="220">
    <xf numFmtId="0" fontId="0" fillId="0" borderId="0" xfId="0"/>
    <xf numFmtId="0" fontId="8" fillId="0" borderId="2" xfId="7" applyFont="1" applyBorder="1" applyAlignment="1">
      <alignment horizontal="left" vertical="center"/>
    </xf>
    <xf numFmtId="0" fontId="8" fillId="0" borderId="2" xfId="7" applyFont="1" applyBorder="1">
      <alignment horizontal="center" vertical="center"/>
    </xf>
    <xf numFmtId="0" fontId="8" fillId="0" borderId="4" xfId="7" applyFont="1" applyBorder="1">
      <alignment horizontal="center" vertical="center"/>
    </xf>
    <xf numFmtId="0" fontId="1" fillId="0" borderId="0" xfId="7" applyAlignment="1">
      <alignment vertical="center"/>
    </xf>
    <xf numFmtId="0" fontId="1" fillId="0" borderId="2" xfId="7" applyBorder="1" applyAlignment="1">
      <alignment horizontal="left" vertical="center"/>
    </xf>
    <xf numFmtId="0" fontId="1" fillId="0" borderId="2" xfId="7" applyBorder="1">
      <alignment horizontal="center" vertical="center"/>
    </xf>
    <xf numFmtId="20" fontId="1" fillId="0" borderId="2" xfId="7" applyNumberFormat="1" applyBorder="1">
      <alignment horizontal="center" vertical="center"/>
    </xf>
    <xf numFmtId="49" fontId="1" fillId="0" borderId="2" xfId="7" quotePrefix="1" applyNumberFormat="1" applyBorder="1">
      <alignment horizontal="center" vertical="center"/>
    </xf>
    <xf numFmtId="179" fontId="1" fillId="0" borderId="2" xfId="7" applyNumberFormat="1" applyBorder="1">
      <alignment horizontal="center" vertical="center"/>
    </xf>
    <xf numFmtId="0" fontId="4" fillId="4" borderId="2" xfId="3" applyBorder="1" applyAlignment="1">
      <alignment horizontal="center" vertical="center"/>
    </xf>
    <xf numFmtId="0" fontId="1" fillId="0" borderId="3" xfId="7" applyBorder="1">
      <alignment horizontal="center" vertical="center"/>
    </xf>
    <xf numFmtId="22" fontId="1" fillId="0" borderId="3" xfId="7" applyNumberFormat="1" applyBorder="1">
      <alignment horizontal="center" vertical="center"/>
    </xf>
    <xf numFmtId="0" fontId="8" fillId="0" borderId="0" xfId="7" applyFont="1">
      <alignment horizontal="center" vertical="center"/>
    </xf>
    <xf numFmtId="0" fontId="2" fillId="2" borderId="0" xfId="1"/>
    <xf numFmtId="0" fontId="2" fillId="2" borderId="0" xfId="1" applyAlignment="1">
      <alignment vertical="center"/>
    </xf>
    <xf numFmtId="0" fontId="1" fillId="7" borderId="2" xfId="7" applyFill="1" applyBorder="1" applyAlignment="1">
      <alignment horizontal="left" vertical="center"/>
    </xf>
    <xf numFmtId="20" fontId="1" fillId="7" borderId="2" xfId="7" applyNumberFormat="1" applyFill="1" applyBorder="1">
      <alignment horizontal="center" vertical="center"/>
    </xf>
    <xf numFmtId="179" fontId="1" fillId="7" borderId="2" xfId="7" applyNumberFormat="1" applyFill="1" applyBorder="1">
      <alignment horizontal="center" vertical="center"/>
    </xf>
    <xf numFmtId="0" fontId="2" fillId="2" borderId="2" xfId="1" applyBorder="1" applyAlignment="1">
      <alignment horizontal="center" vertical="center"/>
    </xf>
    <xf numFmtId="0" fontId="1" fillId="7" borderId="3" xfId="7" applyFill="1" applyBorder="1">
      <alignment horizontal="center" vertical="center"/>
    </xf>
    <xf numFmtId="22" fontId="1" fillId="7" borderId="2" xfId="7" applyNumberFormat="1" applyFill="1" applyBorder="1">
      <alignment horizontal="center" vertical="center"/>
    </xf>
    <xf numFmtId="14" fontId="7" fillId="0" borderId="0" xfId="5" applyNumberFormat="1" applyAlignment="1">
      <alignment horizontal="center"/>
    </xf>
    <xf numFmtId="0" fontId="1" fillId="0" borderId="0" xfId="7" applyAlignment="1">
      <alignment horizontal="left" vertical="center"/>
    </xf>
    <xf numFmtId="0" fontId="1" fillId="0" borderId="0" xfId="7">
      <alignment horizontal="center" vertical="center"/>
    </xf>
    <xf numFmtId="0" fontId="1" fillId="0" borderId="5" xfId="7" applyBorder="1">
      <alignment horizontal="center" vertical="center"/>
    </xf>
    <xf numFmtId="22" fontId="1" fillId="0" borderId="6" xfId="7" applyNumberFormat="1" applyBorder="1">
      <alignment horizontal="center" vertical="center"/>
    </xf>
    <xf numFmtId="0" fontId="1" fillId="7" borderId="2" xfId="7" applyFill="1" applyBorder="1">
      <alignment horizontal="center" vertical="center"/>
    </xf>
    <xf numFmtId="0" fontId="1" fillId="7" borderId="0" xfId="7" applyFill="1">
      <alignment horizontal="center" vertical="center"/>
    </xf>
    <xf numFmtId="22" fontId="1" fillId="7" borderId="4" xfId="7" applyNumberFormat="1" applyFill="1" applyBorder="1">
      <alignment horizontal="center" vertical="center"/>
    </xf>
    <xf numFmtId="0" fontId="3" fillId="3" borderId="2" xfId="2" applyBorder="1" applyAlignment="1">
      <alignment horizontal="center" vertical="center"/>
    </xf>
    <xf numFmtId="22" fontId="1" fillId="0" borderId="2" xfId="7" applyNumberFormat="1" applyBorder="1">
      <alignment horizontal="center" vertical="center"/>
    </xf>
    <xf numFmtId="22" fontId="1" fillId="7" borderId="7" xfId="7" applyNumberFormat="1" applyFill="1" applyBorder="1">
      <alignment horizontal="center" vertical="center"/>
    </xf>
    <xf numFmtId="49" fontId="1" fillId="6" borderId="2" xfId="6" quotePrefix="1" applyNumberFormat="1" applyBorder="1" applyAlignment="1">
      <alignment horizontal="center" vertical="center"/>
    </xf>
    <xf numFmtId="22" fontId="1" fillId="0" borderId="8" xfId="7" applyNumberFormat="1" applyBorder="1">
      <alignment horizontal="center" vertical="center"/>
    </xf>
    <xf numFmtId="22" fontId="1" fillId="7" borderId="5" xfId="7" applyNumberFormat="1" applyFill="1" applyBorder="1">
      <alignment horizontal="center" vertical="center"/>
    </xf>
    <xf numFmtId="22" fontId="1" fillId="0" borderId="0" xfId="7" applyNumberFormat="1">
      <alignment horizontal="center" vertical="center"/>
    </xf>
    <xf numFmtId="22" fontId="1" fillId="7" borderId="0" xfId="7" applyNumberFormat="1" applyFill="1">
      <alignment horizontal="center" vertical="center"/>
    </xf>
    <xf numFmtId="22" fontId="1" fillId="7" borderId="6" xfId="7" applyNumberFormat="1" applyFill="1" applyBorder="1">
      <alignment horizontal="center" vertical="center"/>
    </xf>
    <xf numFmtId="20" fontId="1" fillId="0" borderId="0" xfId="7" applyNumberFormat="1">
      <alignment horizontal="center" vertical="center"/>
    </xf>
    <xf numFmtId="20" fontId="1" fillId="0" borderId="16" xfId="7" applyNumberFormat="1" applyBorder="1">
      <alignment horizontal="center" vertical="center"/>
    </xf>
    <xf numFmtId="20" fontId="1" fillId="0" borderId="17" xfId="7" applyNumberFormat="1" applyBorder="1">
      <alignment horizontal="center" vertical="center"/>
    </xf>
    <xf numFmtId="20" fontId="1" fillId="0" borderId="18" xfId="7" applyNumberFormat="1" applyBorder="1">
      <alignment horizontal="center" vertical="center"/>
    </xf>
    <xf numFmtId="0" fontId="1" fillId="0" borderId="19" xfId="7" applyBorder="1">
      <alignment horizontal="center" vertical="center"/>
    </xf>
    <xf numFmtId="0" fontId="1" fillId="0" borderId="20" xfId="7" applyBorder="1" applyAlignment="1">
      <alignment horizontal="center" vertical="center" wrapText="1"/>
    </xf>
    <xf numFmtId="0" fontId="1" fillId="0" borderId="16" xfId="7" applyBorder="1" applyAlignment="1">
      <alignment horizontal="center" vertical="center" wrapText="1"/>
    </xf>
    <xf numFmtId="0" fontId="1" fillId="0" borderId="17" xfId="7" applyBorder="1" applyAlignment="1">
      <alignment horizontal="center" vertical="center" wrapText="1"/>
    </xf>
    <xf numFmtId="0" fontId="1" fillId="0" borderId="21" xfId="7" applyBorder="1" applyAlignment="1">
      <alignment horizontal="center" vertical="center" wrapText="1"/>
    </xf>
    <xf numFmtId="0" fontId="1" fillId="0" borderId="23" xfId="7" applyBorder="1">
      <alignment horizontal="center" vertical="center"/>
    </xf>
    <xf numFmtId="0" fontId="1" fillId="0" borderId="0" xfId="7" applyAlignment="1">
      <alignment horizontal="center" vertical="center" wrapText="1"/>
    </xf>
    <xf numFmtId="0" fontId="1" fillId="0" borderId="24" xfId="7" applyBorder="1" applyAlignment="1">
      <alignment horizontal="center" vertical="center" wrapText="1"/>
    </xf>
    <xf numFmtId="0" fontId="1" fillId="0" borderId="25" xfId="7" applyBorder="1" applyAlignment="1">
      <alignment horizontal="center" vertical="center" wrapText="1"/>
    </xf>
    <xf numFmtId="0" fontId="1" fillId="0" borderId="27" xfId="7" applyBorder="1">
      <alignment horizontal="center" vertical="center"/>
    </xf>
    <xf numFmtId="0" fontId="1" fillId="0" borderId="30" xfId="7" applyBorder="1">
      <alignment horizontal="center" vertical="center"/>
    </xf>
    <xf numFmtId="0" fontId="1" fillId="0" borderId="2" xfId="7" applyFill="1" applyBorder="1" applyAlignment="1">
      <alignment horizontal="left" vertical="center"/>
    </xf>
    <xf numFmtId="0" fontId="0" fillId="0" borderId="2" xfId="0" applyBorder="1" applyAlignment="1">
      <alignment horizontal="left" vertical="center"/>
    </xf>
    <xf numFmtId="0" fontId="0" fillId="0" borderId="2" xfId="0" applyFill="1" applyBorder="1" applyAlignment="1">
      <alignment horizontal="left" vertical="center"/>
    </xf>
    <xf numFmtId="0" fontId="1" fillId="0" borderId="2" xfId="7" applyFill="1" applyBorder="1" applyAlignment="1">
      <alignment horizontal="center" vertical="center"/>
    </xf>
    <xf numFmtId="0" fontId="1" fillId="0" borderId="2" xfId="7" applyBorder="1" applyAlignment="1">
      <alignment horizontal="center" vertical="center"/>
    </xf>
    <xf numFmtId="0" fontId="0" fillId="0" borderId="2" xfId="0" applyBorder="1" applyAlignment="1">
      <alignment horizontal="center" vertical="center"/>
    </xf>
    <xf numFmtId="49" fontId="12" fillId="0" borderId="2" xfId="0" applyNumberFormat="1" applyFont="1" applyBorder="1" applyAlignment="1">
      <alignment horizontal="left" vertical="center"/>
    </xf>
    <xf numFmtId="49" fontId="0" fillId="0" borderId="2" xfId="0" applyNumberFormat="1" applyBorder="1" applyAlignment="1">
      <alignment horizontal="left" vertical="center"/>
    </xf>
    <xf numFmtId="0" fontId="0" fillId="0" borderId="0" xfId="0" applyAlignment="1">
      <alignment vertical="center"/>
    </xf>
    <xf numFmtId="0" fontId="0" fillId="0" borderId="2" xfId="0" applyBorder="1" applyAlignment="1">
      <alignment vertical="center"/>
    </xf>
    <xf numFmtId="0" fontId="0" fillId="0" borderId="0" xfId="0" applyAlignment="1">
      <alignment horizontal="center" vertical="center"/>
    </xf>
    <xf numFmtId="49" fontId="0" fillId="0" borderId="2" xfId="0" applyNumberFormat="1" applyBorder="1" applyAlignment="1">
      <alignment vertical="center"/>
    </xf>
    <xf numFmtId="0" fontId="0" fillId="0" borderId="2" xfId="0" applyFill="1" applyBorder="1" applyAlignment="1">
      <alignment vertical="center"/>
    </xf>
    <xf numFmtId="0" fontId="0" fillId="0" borderId="2" xfId="0" applyFill="1" applyBorder="1" applyAlignment="1">
      <alignment horizontal="center" vertical="center"/>
    </xf>
    <xf numFmtId="0" fontId="0" fillId="0" borderId="4" xfId="0" applyBorder="1" applyAlignment="1">
      <alignment horizontal="center" vertical="center"/>
    </xf>
    <xf numFmtId="0" fontId="0" fillId="0" borderId="4" xfId="0" applyFill="1" applyBorder="1" applyAlignment="1">
      <alignment vertical="center"/>
    </xf>
    <xf numFmtId="0" fontId="1" fillId="0" borderId="0" xfId="7" applyBorder="1" applyAlignment="1">
      <alignment horizontal="center" vertical="center"/>
    </xf>
    <xf numFmtId="0" fontId="1" fillId="0" borderId="0" xfId="7" applyBorder="1" applyAlignment="1">
      <alignment horizontal="left" vertical="center"/>
    </xf>
    <xf numFmtId="0" fontId="1" fillId="0" borderId="0" xfId="7" applyFill="1" applyBorder="1" applyAlignment="1">
      <alignment horizontal="center" vertical="center"/>
    </xf>
    <xf numFmtId="0" fontId="1" fillId="0" borderId="0" xfId="7" applyFill="1" applyBorder="1" applyAlignment="1">
      <alignment horizontal="left" vertical="center"/>
    </xf>
    <xf numFmtId="0" fontId="8" fillId="0" borderId="0" xfId="0" applyFont="1" applyAlignment="1">
      <alignment horizontal="center" vertical="center"/>
    </xf>
    <xf numFmtId="0" fontId="8" fillId="0" borderId="0" xfId="0" applyFont="1" applyAlignment="1">
      <alignment vertical="center"/>
    </xf>
    <xf numFmtId="0" fontId="0" fillId="0" borderId="3" xfId="0" applyBorder="1" applyAlignment="1">
      <alignment horizontal="center" vertical="center"/>
    </xf>
    <xf numFmtId="0" fontId="8" fillId="0" borderId="0" xfId="0" quotePrefix="1" applyFont="1" applyAlignment="1">
      <alignment horizontal="center" vertical="center"/>
    </xf>
    <xf numFmtId="0" fontId="0" fillId="0" borderId="2" xfId="0" applyFont="1" applyBorder="1" applyAlignment="1">
      <alignment horizontal="center" vertical="center"/>
    </xf>
    <xf numFmtId="0" fontId="0" fillId="0" borderId="2" xfId="0" applyFont="1" applyBorder="1" applyAlignment="1">
      <alignment horizontal="left" vertical="center"/>
    </xf>
    <xf numFmtId="49" fontId="0" fillId="0" borderId="2" xfId="0" applyNumberFormat="1" applyFont="1" applyBorder="1" applyAlignment="1">
      <alignment horizontal="center" vertical="center"/>
    </xf>
    <xf numFmtId="0" fontId="1" fillId="0" borderId="0" xfId="7" applyAlignment="1">
      <alignment horizontal="center" vertical="center"/>
    </xf>
    <xf numFmtId="0" fontId="1" fillId="0" borderId="0" xfId="7" applyBorder="1">
      <alignment horizontal="center" vertical="center"/>
    </xf>
    <xf numFmtId="0" fontId="8" fillId="0" borderId="0" xfId="7" applyFont="1" applyBorder="1" applyAlignment="1">
      <alignment horizontal="center" vertical="center"/>
    </xf>
    <xf numFmtId="0" fontId="0" fillId="9" borderId="0" xfId="0" applyFill="1" applyAlignment="1">
      <alignment horizontal="center" vertical="center"/>
    </xf>
    <xf numFmtId="0" fontId="0" fillId="9" borderId="0" xfId="0" applyFill="1" applyAlignment="1">
      <alignment vertical="center"/>
    </xf>
    <xf numFmtId="0" fontId="14" fillId="0" borderId="2" xfId="7" applyNumberFormat="1" applyFont="1" applyBorder="1" applyAlignment="1">
      <alignment horizontal="right" vertical="center"/>
    </xf>
    <xf numFmtId="0" fontId="12" fillId="0" borderId="2" xfId="8" applyNumberFormat="1" applyFont="1" applyBorder="1" applyAlignment="1">
      <alignment horizontal="right" vertical="center"/>
    </xf>
    <xf numFmtId="0" fontId="12" fillId="7" borderId="2" xfId="8" applyNumberFormat="1" applyFont="1" applyFill="1" applyBorder="1" applyAlignment="1">
      <alignment horizontal="right" vertical="center"/>
    </xf>
    <xf numFmtId="0" fontId="1" fillId="0" borderId="0" xfId="7" applyNumberFormat="1" applyFont="1" applyAlignment="1">
      <alignment horizontal="right" vertical="center"/>
    </xf>
    <xf numFmtId="0" fontId="1" fillId="0" borderId="2" xfId="7" applyBorder="1">
      <alignment horizontal="center" vertical="center"/>
    </xf>
    <xf numFmtId="0" fontId="0" fillId="0" borderId="0" xfId="0" applyFill="1" applyAlignment="1">
      <alignment horizontal="center" vertical="center"/>
    </xf>
    <xf numFmtId="0" fontId="8" fillId="0" borderId="2" xfId="7" applyFont="1" applyBorder="1" applyAlignment="1">
      <alignment horizontal="center" vertical="center"/>
    </xf>
    <xf numFmtId="0" fontId="5" fillId="8" borderId="2" xfId="4" applyFill="1" applyBorder="1" applyAlignment="1">
      <alignment horizontal="center" vertical="center"/>
    </xf>
    <xf numFmtId="0" fontId="5" fillId="5" borderId="2" xfId="4" applyBorder="1" applyAlignment="1">
      <alignment horizontal="center" vertical="center"/>
    </xf>
    <xf numFmtId="20" fontId="1" fillId="0" borderId="2" xfId="7" applyNumberFormat="1" applyBorder="1" applyAlignment="1">
      <alignment horizontal="center" vertical="center"/>
    </xf>
    <xf numFmtId="184" fontId="1" fillId="0" borderId="0" xfId="7" applyNumberFormat="1" applyAlignment="1">
      <alignment horizontal="center" vertical="center"/>
    </xf>
    <xf numFmtId="0" fontId="1" fillId="0" borderId="15" xfId="7" applyBorder="1" applyAlignment="1">
      <alignment horizontal="center" vertical="center"/>
    </xf>
    <xf numFmtId="0" fontId="1" fillId="0" borderId="22" xfId="7" applyBorder="1" applyAlignment="1">
      <alignment horizontal="center" vertical="center"/>
    </xf>
    <xf numFmtId="0" fontId="1" fillId="0" borderId="26" xfId="7" applyBorder="1" applyAlignment="1">
      <alignment horizontal="center" vertical="center"/>
    </xf>
    <xf numFmtId="0" fontId="1" fillId="0" borderId="31" xfId="7" applyBorder="1">
      <alignment horizontal="center" vertical="center"/>
    </xf>
    <xf numFmtId="0" fontId="1" fillId="0" borderId="32" xfId="7" applyBorder="1">
      <alignment horizontal="center" vertical="center"/>
    </xf>
    <xf numFmtId="174" fontId="0" fillId="0" borderId="0" xfId="0" applyNumberFormat="1" applyAlignment="1">
      <alignment horizontal="center" vertical="center"/>
    </xf>
    <xf numFmtId="181" fontId="0" fillId="0" borderId="0" xfId="0" applyNumberFormat="1" applyAlignment="1">
      <alignment horizontal="center" vertical="center"/>
    </xf>
    <xf numFmtId="165" fontId="0" fillId="0" borderId="0" xfId="0" applyNumberFormat="1" applyAlignment="1">
      <alignment horizontal="center" vertical="center"/>
    </xf>
    <xf numFmtId="176" fontId="0" fillId="0" borderId="0" xfId="0" applyNumberFormat="1" applyAlignment="1">
      <alignment horizontal="left" vertical="center"/>
    </xf>
    <xf numFmtId="185" fontId="0" fillId="0" borderId="0" xfId="0" applyNumberFormat="1" applyAlignment="1">
      <alignment horizontal="center" vertical="center"/>
    </xf>
    <xf numFmtId="185" fontId="8" fillId="0" borderId="0" xfId="0" applyNumberFormat="1" applyFont="1" applyAlignment="1">
      <alignment horizontal="center" vertical="center"/>
    </xf>
    <xf numFmtId="186" fontId="0" fillId="0" borderId="0" xfId="0" applyNumberFormat="1" applyAlignment="1">
      <alignment horizontal="left" vertical="center"/>
    </xf>
    <xf numFmtId="186" fontId="8" fillId="0" borderId="0" xfId="0" applyNumberFormat="1" applyFont="1" applyAlignment="1">
      <alignment horizontal="center" vertical="center"/>
    </xf>
    <xf numFmtId="171" fontId="0" fillId="0" borderId="0" xfId="0" applyNumberFormat="1" applyAlignment="1">
      <alignment horizontal="left" vertical="center"/>
    </xf>
    <xf numFmtId="187" fontId="0" fillId="0" borderId="0" xfId="0" applyNumberFormat="1" applyAlignment="1">
      <alignment horizontal="center" vertical="center"/>
    </xf>
    <xf numFmtId="187" fontId="8" fillId="0" borderId="0" xfId="0" applyNumberFormat="1" applyFont="1" applyAlignment="1">
      <alignment horizontal="center" vertical="center"/>
    </xf>
    <xf numFmtId="188" fontId="0" fillId="0" borderId="0" xfId="0" applyNumberFormat="1" applyAlignment="1">
      <alignment vertical="center"/>
    </xf>
    <xf numFmtId="188" fontId="8" fillId="0" borderId="0" xfId="0" applyNumberFormat="1" applyFont="1" applyAlignment="1">
      <alignment vertical="center"/>
    </xf>
    <xf numFmtId="176" fontId="8" fillId="0" borderId="0" xfId="0" applyNumberFormat="1" applyFont="1" applyAlignment="1">
      <alignment horizontal="center" vertical="center"/>
    </xf>
    <xf numFmtId="0" fontId="1" fillId="0" borderId="0" xfId="7" applyNumberFormat="1" applyAlignment="1">
      <alignment horizontal="left" vertical="center"/>
    </xf>
    <xf numFmtId="0" fontId="1" fillId="0" borderId="0" xfId="7" applyAlignment="1">
      <alignment horizontal="right" vertical="center"/>
    </xf>
    <xf numFmtId="0" fontId="10" fillId="0" borderId="0" xfId="7" applyFont="1" applyBorder="1" applyAlignment="1">
      <alignment horizontal="center" vertical="center"/>
    </xf>
    <xf numFmtId="20" fontId="1" fillId="0" borderId="0" xfId="7" applyNumberFormat="1" applyBorder="1" applyAlignment="1">
      <alignment horizontal="center" vertical="center"/>
    </xf>
    <xf numFmtId="20" fontId="10" fillId="0" borderId="0" xfId="7" applyNumberFormat="1" applyFont="1" applyBorder="1" applyAlignment="1">
      <alignment horizontal="center" vertical="center"/>
    </xf>
    <xf numFmtId="0" fontId="1" fillId="7" borderId="2" xfId="7" applyFill="1" applyBorder="1">
      <alignment horizontal="center" vertical="center"/>
    </xf>
    <xf numFmtId="0" fontId="1" fillId="7" borderId="2" xfId="7" applyFont="1" applyFill="1" applyBorder="1">
      <alignment horizontal="center" vertical="center"/>
    </xf>
    <xf numFmtId="0" fontId="1" fillId="0" borderId="2" xfId="7" applyFont="1" applyBorder="1">
      <alignment horizontal="center" vertical="center"/>
    </xf>
    <xf numFmtId="0" fontId="8" fillId="0" borderId="0" xfId="7" applyFont="1" applyAlignment="1">
      <alignment horizontal="left" vertical="center"/>
    </xf>
    <xf numFmtId="14" fontId="0" fillId="0" borderId="0" xfId="0" applyNumberFormat="1" applyAlignment="1">
      <alignment horizontal="center" vertical="center"/>
    </xf>
    <xf numFmtId="14" fontId="0" fillId="0" borderId="37" xfId="0" applyNumberFormat="1" applyBorder="1" applyAlignment="1">
      <alignment horizontal="center" vertical="center"/>
    </xf>
    <xf numFmtId="14" fontId="0" fillId="0" borderId="39" xfId="0" applyNumberFormat="1" applyBorder="1" applyAlignment="1">
      <alignment horizontal="center" vertical="center"/>
    </xf>
    <xf numFmtId="0" fontId="0" fillId="0" borderId="33" xfId="0" applyBorder="1" applyAlignment="1">
      <alignment horizontal="center" vertical="center"/>
    </xf>
    <xf numFmtId="0" fontId="0" fillId="0" borderId="0" xfId="0" applyAlignment="1">
      <alignment horizontal="left" vertical="center"/>
    </xf>
    <xf numFmtId="0" fontId="0" fillId="0" borderId="0" xfId="0" applyNumberFormat="1" applyAlignment="1">
      <alignment vertical="center"/>
    </xf>
    <xf numFmtId="0" fontId="8" fillId="0" borderId="38" xfId="0" applyFont="1" applyBorder="1" applyAlignment="1">
      <alignment horizontal="center" vertical="center"/>
    </xf>
    <xf numFmtId="0" fontId="8" fillId="0" borderId="35" xfId="0" applyFont="1" applyBorder="1" applyAlignment="1">
      <alignment horizontal="center" vertical="center"/>
    </xf>
    <xf numFmtId="0" fontId="1" fillId="0" borderId="2" xfId="7" applyBorder="1">
      <alignment horizontal="center" vertical="center"/>
    </xf>
    <xf numFmtId="0" fontId="1" fillId="0" borderId="0" xfId="7" quotePrefix="1" applyNumberFormat="1" applyBorder="1" applyAlignment="1">
      <alignment horizontal="left" vertical="center"/>
    </xf>
    <xf numFmtId="0" fontId="0" fillId="0" borderId="0" xfId="0" applyAlignment="1">
      <alignment horizontal="right" vertical="center"/>
    </xf>
    <xf numFmtId="0" fontId="8" fillId="0" borderId="34" xfId="0" applyFont="1" applyBorder="1" applyAlignment="1">
      <alignment horizontal="right" vertical="center"/>
    </xf>
    <xf numFmtId="14" fontId="9" fillId="0" borderId="35" xfId="0" applyNumberFormat="1" applyFont="1" applyBorder="1" applyAlignment="1">
      <alignment horizontal="left" vertical="center"/>
    </xf>
    <xf numFmtId="0" fontId="8" fillId="0" borderId="2" xfId="7" applyFont="1" applyBorder="1">
      <alignment horizontal="center" vertical="center"/>
    </xf>
    <xf numFmtId="0" fontId="0" fillId="0" borderId="0" xfId="0" applyAlignment="1">
      <alignment horizontal="center" vertical="center"/>
    </xf>
    <xf numFmtId="14" fontId="0" fillId="0" borderId="0" xfId="0" applyNumberFormat="1" applyAlignment="1">
      <alignment horizontal="center" vertical="center"/>
    </xf>
    <xf numFmtId="0" fontId="0" fillId="0" borderId="0" xfId="0" applyAlignment="1">
      <alignment horizontal="center" vertical="center"/>
    </xf>
    <xf numFmtId="14" fontId="0" fillId="0" borderId="0" xfId="0" applyNumberFormat="1" applyAlignment="1">
      <alignment horizontal="center" vertical="center"/>
    </xf>
    <xf numFmtId="15" fontId="1" fillId="0" borderId="0" xfId="7" applyNumberFormat="1">
      <alignment horizontal="center" vertical="center"/>
    </xf>
    <xf numFmtId="14" fontId="0" fillId="0" borderId="0" xfId="0" applyNumberFormat="1" applyAlignment="1">
      <alignment horizontal="left" vertical="center"/>
    </xf>
    <xf numFmtId="0" fontId="0" fillId="0" borderId="43" xfId="0" applyBorder="1" applyAlignment="1">
      <alignment horizontal="left" vertical="center"/>
    </xf>
    <xf numFmtId="0" fontId="0" fillId="0" borderId="0" xfId="0" applyBorder="1" applyAlignment="1">
      <alignment horizontal="left" vertical="center"/>
    </xf>
    <xf numFmtId="0" fontId="0" fillId="0" borderId="45" xfId="0" applyBorder="1" applyAlignment="1">
      <alignment horizontal="left" vertical="center"/>
    </xf>
    <xf numFmtId="0" fontId="0" fillId="0" borderId="34" xfId="0" applyBorder="1" applyAlignment="1">
      <alignment horizontal="right" vertical="center"/>
    </xf>
    <xf numFmtId="0" fontId="0" fillId="0" borderId="44" xfId="0" applyBorder="1" applyAlignment="1">
      <alignment horizontal="right" vertical="center"/>
    </xf>
    <xf numFmtId="0" fontId="0" fillId="0" borderId="36" xfId="0" applyBorder="1" applyAlignment="1">
      <alignment horizontal="right" vertical="center"/>
    </xf>
    <xf numFmtId="0" fontId="8" fillId="0" borderId="46" xfId="0" applyFont="1" applyBorder="1" applyAlignment="1">
      <alignment horizontal="center" vertical="center"/>
    </xf>
    <xf numFmtId="0" fontId="8" fillId="0" borderId="39" xfId="0" applyFont="1" applyBorder="1" applyAlignment="1">
      <alignment horizontal="center" vertical="center"/>
    </xf>
    <xf numFmtId="14" fontId="1" fillId="0" borderId="0" xfId="7" applyNumberFormat="1">
      <alignment horizontal="center" vertical="center"/>
    </xf>
    <xf numFmtId="0" fontId="1" fillId="0" borderId="0" xfId="7" applyNumberFormat="1" applyAlignment="1">
      <alignment horizontal="center" vertical="center"/>
    </xf>
    <xf numFmtId="0" fontId="1" fillId="0" borderId="2" xfId="7" quotePrefix="1" applyNumberFormat="1" applyBorder="1">
      <alignment horizontal="center" vertical="center"/>
    </xf>
    <xf numFmtId="0" fontId="1" fillId="7" borderId="2" xfId="7" quotePrefix="1" applyNumberFormat="1" applyFill="1" applyBorder="1">
      <alignment horizontal="center" vertical="center"/>
    </xf>
    <xf numFmtId="0" fontId="1" fillId="6" borderId="2" xfId="6" quotePrefix="1" applyNumberFormat="1" applyBorder="1" applyAlignment="1">
      <alignment horizontal="center" vertical="center"/>
    </xf>
    <xf numFmtId="22" fontId="1" fillId="0" borderId="2" xfId="7" quotePrefix="1" applyNumberFormat="1" applyBorder="1">
      <alignment horizontal="center" vertical="center"/>
    </xf>
    <xf numFmtId="0" fontId="1" fillId="7" borderId="2" xfId="7" applyFill="1" applyBorder="1" applyAlignment="1">
      <alignment horizontal="center" vertical="center"/>
    </xf>
    <xf numFmtId="189" fontId="1" fillId="0" borderId="2" xfId="7" applyNumberFormat="1" applyFill="1" applyBorder="1" applyAlignment="1">
      <alignment horizontal="center" vertical="center"/>
    </xf>
    <xf numFmtId="189" fontId="1" fillId="0" borderId="0" xfId="7" applyNumberFormat="1" applyFill="1" applyBorder="1" applyAlignment="1">
      <alignment horizontal="center" vertical="center"/>
    </xf>
    <xf numFmtId="189" fontId="8" fillId="0" borderId="0" xfId="0" applyNumberFormat="1" applyFont="1" applyAlignment="1">
      <alignment horizontal="center" vertical="center"/>
    </xf>
    <xf numFmtId="189" fontId="0" fillId="0" borderId="2" xfId="0" quotePrefix="1" applyNumberFormat="1" applyFill="1" applyBorder="1" applyAlignment="1">
      <alignment horizontal="center" vertical="center"/>
    </xf>
    <xf numFmtId="189" fontId="0" fillId="0" borderId="2" xfId="0" applyNumberFormat="1" applyBorder="1" applyAlignment="1">
      <alignment horizontal="center" vertical="center"/>
    </xf>
    <xf numFmtId="189" fontId="0" fillId="0" borderId="0" xfId="0" applyNumberFormat="1" applyAlignment="1">
      <alignment horizontal="center" vertical="center"/>
    </xf>
    <xf numFmtId="189" fontId="1" fillId="0" borderId="2" xfId="7" applyNumberFormat="1" applyBorder="1" applyAlignment="1">
      <alignment horizontal="center" vertical="center"/>
    </xf>
    <xf numFmtId="189" fontId="1" fillId="0" borderId="0" xfId="7" applyNumberFormat="1" applyBorder="1" applyAlignment="1">
      <alignment horizontal="center" vertical="center"/>
    </xf>
    <xf numFmtId="190" fontId="1" fillId="0" borderId="2" xfId="7" applyNumberFormat="1" applyBorder="1" applyAlignment="1">
      <alignment horizontal="center" vertical="center"/>
    </xf>
    <xf numFmtId="190" fontId="1" fillId="0" borderId="0" xfId="7" applyNumberFormat="1" applyBorder="1" applyAlignment="1">
      <alignment horizontal="center" vertical="center"/>
    </xf>
    <xf numFmtId="190" fontId="8" fillId="0" borderId="0" xfId="0" applyNumberFormat="1" applyFont="1" applyAlignment="1">
      <alignment horizontal="center" vertical="center"/>
    </xf>
    <xf numFmtId="190" fontId="0" fillId="0" borderId="2" xfId="0" applyNumberFormat="1" applyBorder="1" applyAlignment="1">
      <alignment horizontal="center" vertical="center"/>
    </xf>
    <xf numFmtId="190" fontId="0" fillId="0" borderId="0" xfId="0" applyNumberFormat="1" applyAlignment="1">
      <alignment horizontal="center" vertical="center"/>
    </xf>
    <xf numFmtId="190" fontId="1" fillId="0" borderId="2" xfId="7" applyNumberFormat="1" applyFill="1" applyBorder="1" applyAlignment="1">
      <alignment horizontal="center" vertical="center"/>
    </xf>
    <xf numFmtId="190" fontId="1" fillId="0" borderId="0" xfId="7" applyNumberFormat="1" applyFill="1" applyBorder="1" applyAlignment="1">
      <alignment horizontal="center" vertical="center"/>
    </xf>
    <xf numFmtId="189" fontId="0" fillId="0" borderId="2" xfId="0" applyNumberFormat="1" applyFill="1" applyBorder="1" applyAlignment="1">
      <alignment horizontal="center" vertical="center"/>
    </xf>
    <xf numFmtId="0" fontId="9" fillId="0" borderId="0" xfId="7" applyFont="1" applyAlignment="1">
      <alignment horizontal="center" vertical="center"/>
    </xf>
    <xf numFmtId="0" fontId="7" fillId="0" borderId="0" xfId="5" applyAlignment="1">
      <alignment horizontal="center" vertical="center"/>
    </xf>
    <xf numFmtId="0" fontId="8" fillId="0" borderId="2" xfId="7" applyFont="1" applyBorder="1">
      <alignment horizontal="center" vertical="center"/>
    </xf>
    <xf numFmtId="0" fontId="8" fillId="0" borderId="3" xfId="7" applyFont="1" applyBorder="1">
      <alignment horizontal="center" vertical="center"/>
    </xf>
    <xf numFmtId="0" fontId="1" fillId="0" borderId="2" xfId="7" applyBorder="1">
      <alignment horizontal="center" vertical="center"/>
    </xf>
    <xf numFmtId="0" fontId="1" fillId="7" borderId="2" xfId="7" applyFill="1" applyBorder="1">
      <alignment horizontal="center" vertical="center"/>
    </xf>
    <xf numFmtId="0" fontId="1" fillId="7" borderId="3" xfId="7" applyFill="1" applyBorder="1">
      <alignment horizontal="center" vertical="center"/>
    </xf>
    <xf numFmtId="0" fontId="1" fillId="7" borderId="47" xfId="7" applyFill="1" applyBorder="1">
      <alignment horizontal="center" vertical="center"/>
    </xf>
    <xf numFmtId="20" fontId="8" fillId="0" borderId="9" xfId="7" applyNumberFormat="1" applyFont="1" applyBorder="1">
      <alignment horizontal="center" vertical="center"/>
    </xf>
    <xf numFmtId="20" fontId="8" fillId="0" borderId="10" xfId="7" applyNumberFormat="1" applyFont="1" applyBorder="1">
      <alignment horizontal="center" vertical="center"/>
    </xf>
    <xf numFmtId="20" fontId="8" fillId="0" borderId="11" xfId="7" applyNumberFormat="1" applyFont="1" applyBorder="1">
      <alignment horizontal="center" vertical="center"/>
    </xf>
    <xf numFmtId="0" fontId="1" fillId="0" borderId="12" xfId="7" applyBorder="1">
      <alignment horizontal="center" vertical="center"/>
    </xf>
    <xf numFmtId="0" fontId="1" fillId="0" borderId="13" xfId="7" applyBorder="1">
      <alignment horizontal="center" vertical="center"/>
    </xf>
    <xf numFmtId="0" fontId="1" fillId="0" borderId="14" xfId="7" applyBorder="1">
      <alignment horizontal="center" vertical="center"/>
    </xf>
    <xf numFmtId="0" fontId="1" fillId="0" borderId="16" xfId="7" applyBorder="1">
      <alignment horizontal="center" vertical="center"/>
    </xf>
    <xf numFmtId="0" fontId="1" fillId="0" borderId="17" xfId="7" applyBorder="1">
      <alignment horizontal="center" vertical="center"/>
    </xf>
    <xf numFmtId="0" fontId="1" fillId="0" borderId="28" xfId="7" applyBorder="1">
      <alignment horizontal="center" vertical="center"/>
    </xf>
    <xf numFmtId="0" fontId="1" fillId="0" borderId="29" xfId="7" applyBorder="1">
      <alignment horizontal="center" vertical="center"/>
    </xf>
    <xf numFmtId="0" fontId="0" fillId="0" borderId="0" xfId="7" applyFont="1">
      <alignment horizontal="center" vertical="center"/>
    </xf>
    <xf numFmtId="0" fontId="0" fillId="0" borderId="0" xfId="0" applyAlignment="1">
      <alignment horizontal="center" vertical="center"/>
    </xf>
    <xf numFmtId="14" fontId="0" fillId="0" borderId="0" xfId="0" applyNumberFormat="1" applyAlignment="1">
      <alignment horizontal="center" vertical="center"/>
    </xf>
    <xf numFmtId="0" fontId="8" fillId="0" borderId="0" xfId="0" applyFont="1" applyAlignment="1">
      <alignment horizontal="center" vertical="center" wrapText="1"/>
    </xf>
    <xf numFmtId="0" fontId="0" fillId="0" borderId="34" xfId="0" applyBorder="1" applyAlignment="1">
      <alignment horizontal="center" vertical="center"/>
    </xf>
    <xf numFmtId="0" fontId="0" fillId="0" borderId="35" xfId="0" applyBorder="1" applyAlignment="1">
      <alignment horizontal="center" vertical="center"/>
    </xf>
    <xf numFmtId="0" fontId="0" fillId="0" borderId="36" xfId="0" applyBorder="1" applyAlignment="1">
      <alignment horizontal="center" vertical="center"/>
    </xf>
    <xf numFmtId="0" fontId="0" fillId="0" borderId="37" xfId="0" applyBorder="1" applyAlignment="1">
      <alignment horizontal="center" vertical="center"/>
    </xf>
    <xf numFmtId="0" fontId="16" fillId="0" borderId="34" xfId="0" applyFont="1" applyBorder="1" applyAlignment="1">
      <alignment horizontal="center" vertical="center"/>
    </xf>
    <xf numFmtId="0" fontId="16" fillId="0" borderId="35" xfId="0" applyFont="1" applyBorder="1" applyAlignment="1">
      <alignment horizontal="center" vertical="center"/>
    </xf>
    <xf numFmtId="0" fontId="16" fillId="0" borderId="36" xfId="0" applyFont="1" applyBorder="1" applyAlignment="1">
      <alignment horizontal="center" vertical="center"/>
    </xf>
    <xf numFmtId="0" fontId="16" fillId="0" borderId="37" xfId="0" applyFont="1" applyBorder="1" applyAlignment="1">
      <alignment horizontal="center" vertical="center"/>
    </xf>
    <xf numFmtId="0" fontId="8" fillId="0" borderId="36" xfId="0" applyFont="1" applyBorder="1" applyAlignment="1">
      <alignment horizontal="center" vertical="center"/>
    </xf>
    <xf numFmtId="0" fontId="8" fillId="0" borderId="37" xfId="0" applyFont="1" applyBorder="1" applyAlignment="1">
      <alignment horizontal="center" vertical="center"/>
    </xf>
    <xf numFmtId="0" fontId="0" fillId="0" borderId="34" xfId="0" applyBorder="1" applyAlignment="1">
      <alignment horizontal="center" vertical="center" wrapText="1"/>
    </xf>
    <xf numFmtId="0" fontId="0" fillId="0" borderId="35" xfId="0" applyBorder="1" applyAlignment="1">
      <alignment horizontal="center" vertical="center" wrapText="1"/>
    </xf>
    <xf numFmtId="0" fontId="0" fillId="0" borderId="44" xfId="0" applyBorder="1" applyAlignment="1">
      <alignment horizontal="center" vertical="center" wrapText="1"/>
    </xf>
    <xf numFmtId="0" fontId="0" fillId="0" borderId="48" xfId="0" applyBorder="1" applyAlignment="1">
      <alignment horizontal="center" vertical="center" wrapText="1"/>
    </xf>
    <xf numFmtId="0" fontId="0" fillId="0" borderId="40" xfId="0" applyBorder="1" applyAlignment="1">
      <alignment horizontal="center" vertical="center"/>
    </xf>
    <xf numFmtId="0" fontId="0" fillId="0" borderId="41" xfId="0" applyBorder="1" applyAlignment="1">
      <alignment horizontal="center" vertical="center"/>
    </xf>
    <xf numFmtId="0" fontId="8" fillId="0" borderId="42" xfId="0" applyFont="1" applyBorder="1" applyAlignment="1">
      <alignment horizontal="center" vertical="center"/>
    </xf>
    <xf numFmtId="0" fontId="8" fillId="0" borderId="41" xfId="0" applyFont="1" applyBorder="1" applyAlignment="1">
      <alignment horizontal="center" vertical="center"/>
    </xf>
    <xf numFmtId="0" fontId="8" fillId="0" borderId="40" xfId="0" applyFont="1" applyBorder="1" applyAlignment="1">
      <alignment horizontal="center" vertical="center"/>
    </xf>
    <xf numFmtId="0" fontId="8" fillId="0" borderId="8" xfId="0" applyFont="1" applyBorder="1" applyAlignment="1">
      <alignment horizontal="center" vertical="center"/>
    </xf>
    <xf numFmtId="0" fontId="8" fillId="0" borderId="7" xfId="0" applyFont="1" applyBorder="1" applyAlignment="1">
      <alignment horizontal="center" vertical="center"/>
    </xf>
    <xf numFmtId="0" fontId="8" fillId="0" borderId="2" xfId="0" applyFont="1" applyBorder="1" applyAlignment="1">
      <alignment horizontal="center" vertical="center"/>
    </xf>
  </cellXfs>
  <cellStyles count="9">
    <cellStyle name="40% - Accent3" xfId="6" builtinId="39"/>
    <cellStyle name="Bad" xfId="2" builtinId="27"/>
    <cellStyle name="Explanatory Text" xfId="5" builtinId="53"/>
    <cellStyle name="Good" xfId="1" builtinId="26"/>
    <cellStyle name="Hyperlink" xfId="8" builtinId="8"/>
    <cellStyle name="Neutral" xfId="3" builtinId="28"/>
    <cellStyle name="Normal" xfId="0" builtinId="0"/>
    <cellStyle name="Normal 2" xfId="7" xr:uid="{87F649D0-20A5-4DA8-AE82-C136B9652D00}"/>
    <cellStyle name="Output" xfId="4" builtinId="21"/>
  </cellStyles>
  <dxfs count="208">
    <dxf>
      <font>
        <color theme="0"/>
      </font>
      <fill>
        <patternFill>
          <bgColor theme="9"/>
        </patternFill>
      </fill>
    </dxf>
    <dxf>
      <font>
        <color theme="0"/>
      </font>
      <fill>
        <patternFill>
          <bgColor rgb="FFFF0000"/>
        </patternFill>
      </fill>
    </dxf>
    <dxf>
      <fill>
        <patternFill>
          <bgColor theme="4" tint="0.39994506668294322"/>
        </patternFill>
      </fill>
    </dxf>
    <dxf>
      <border>
        <left style="thin">
          <color auto="1"/>
        </left>
        <right style="thin">
          <color auto="1"/>
        </right>
        <top style="thin">
          <color auto="1"/>
        </top>
        <bottom style="thin">
          <color auto="1"/>
        </bottom>
        <vertical/>
        <horizontal/>
      </border>
    </dxf>
    <dxf>
      <fill>
        <patternFill>
          <bgColor theme="7" tint="0.59996337778862885"/>
        </patternFill>
      </fill>
    </dxf>
    <dxf>
      <font>
        <color theme="0"/>
      </font>
      <fill>
        <patternFill>
          <bgColor theme="9"/>
        </patternFill>
      </fill>
    </dxf>
    <dxf>
      <font>
        <color theme="0"/>
      </font>
      <fill>
        <patternFill>
          <bgColor rgb="FFFF0000"/>
        </patternFill>
      </fill>
    </dxf>
    <dxf>
      <font>
        <color theme="0"/>
      </font>
      <fill>
        <patternFill>
          <bgColor rgb="FFFF0000"/>
        </patternFill>
      </fill>
    </dxf>
    <dxf>
      <font>
        <color theme="0"/>
      </font>
      <fill>
        <patternFill>
          <bgColor rgb="FF00B050"/>
        </patternFill>
      </fill>
    </dxf>
    <dxf>
      <fill>
        <patternFill>
          <bgColor theme="4" tint="0.39994506668294322"/>
        </patternFill>
      </fill>
    </dxf>
    <dxf>
      <border>
        <left style="thin">
          <color auto="1"/>
        </left>
        <right style="thin">
          <color auto="1"/>
        </right>
        <top style="thin">
          <color auto="1"/>
        </top>
        <bottom style="thin">
          <color auto="1"/>
        </bottom>
        <vertical/>
        <horizontal/>
      </border>
    </dxf>
    <dxf>
      <fill>
        <patternFill>
          <bgColor rgb="FFFF0000"/>
        </patternFill>
      </fill>
    </dxf>
    <dxf>
      <font>
        <color theme="0"/>
      </font>
      <fill>
        <patternFill>
          <bgColor theme="9"/>
        </patternFill>
      </fill>
    </dxf>
    <dxf>
      <font>
        <color theme="0"/>
      </font>
      <fill>
        <patternFill>
          <bgColor rgb="FFFF0000"/>
        </patternFill>
      </fill>
    </dxf>
    <dxf>
      <fill>
        <patternFill>
          <bgColor theme="4" tint="0.39994506668294322"/>
        </patternFill>
      </fill>
    </dxf>
    <dxf>
      <border>
        <left style="thin">
          <color auto="1"/>
        </left>
        <right style="thin">
          <color auto="1"/>
        </right>
        <top style="thin">
          <color auto="1"/>
        </top>
        <bottom style="thin">
          <color auto="1"/>
        </bottom>
        <vertical/>
        <horizontal/>
      </border>
    </dxf>
    <dxf>
      <fill>
        <patternFill>
          <bgColor theme="7" tint="0.59996337778862885"/>
        </patternFill>
      </fill>
    </dxf>
    <dxf>
      <font>
        <color theme="0"/>
      </font>
      <fill>
        <patternFill>
          <bgColor theme="9"/>
        </patternFill>
      </fill>
    </dxf>
    <dxf>
      <font>
        <color theme="0"/>
      </font>
      <fill>
        <patternFill>
          <bgColor rgb="FFFF0000"/>
        </patternFill>
      </fill>
    </dxf>
    <dxf>
      <font>
        <color theme="0"/>
      </font>
      <fill>
        <patternFill>
          <bgColor rgb="FFFF0000"/>
        </patternFill>
      </fill>
    </dxf>
    <dxf>
      <font>
        <color theme="0"/>
      </font>
      <fill>
        <patternFill>
          <bgColor rgb="FF00B050"/>
        </patternFill>
      </fill>
    </dxf>
    <dxf>
      <fill>
        <patternFill>
          <bgColor theme="4" tint="0.39994506668294322"/>
        </patternFill>
      </fill>
    </dxf>
    <dxf>
      <border>
        <left style="thin">
          <color auto="1"/>
        </left>
        <right style="thin">
          <color auto="1"/>
        </right>
        <top style="thin">
          <color auto="1"/>
        </top>
        <bottom style="thin">
          <color auto="1"/>
        </bottom>
        <vertical/>
        <horizontal/>
      </border>
    </dxf>
    <dxf>
      <fill>
        <patternFill>
          <bgColor rgb="FFFF0000"/>
        </patternFill>
      </fill>
    </dxf>
    <dxf>
      <font>
        <color theme="0"/>
      </font>
      <fill>
        <patternFill>
          <bgColor theme="9"/>
        </patternFill>
      </fill>
    </dxf>
    <dxf>
      <font>
        <color theme="0"/>
      </font>
      <fill>
        <patternFill>
          <bgColor rgb="FFFF0000"/>
        </patternFill>
      </fill>
    </dxf>
    <dxf>
      <fill>
        <patternFill>
          <bgColor theme="4" tint="0.39994506668294322"/>
        </patternFill>
      </fill>
    </dxf>
    <dxf>
      <border>
        <left style="thin">
          <color auto="1"/>
        </left>
        <right style="thin">
          <color auto="1"/>
        </right>
        <top style="thin">
          <color auto="1"/>
        </top>
        <bottom style="thin">
          <color auto="1"/>
        </bottom>
        <vertical/>
        <horizontal/>
      </border>
    </dxf>
    <dxf>
      <fill>
        <patternFill>
          <bgColor theme="7" tint="0.59996337778862885"/>
        </patternFill>
      </fill>
    </dxf>
    <dxf>
      <font>
        <color theme="0"/>
      </font>
      <fill>
        <patternFill>
          <bgColor theme="9"/>
        </patternFill>
      </fill>
    </dxf>
    <dxf>
      <font>
        <color theme="0"/>
      </font>
      <fill>
        <patternFill>
          <bgColor rgb="FFFF0000"/>
        </patternFill>
      </fill>
    </dxf>
    <dxf>
      <font>
        <color theme="0"/>
      </font>
      <fill>
        <patternFill>
          <bgColor rgb="FFFF0000"/>
        </patternFill>
      </fill>
    </dxf>
    <dxf>
      <font>
        <color theme="0"/>
      </font>
      <fill>
        <patternFill>
          <bgColor rgb="FF00B050"/>
        </patternFill>
      </fill>
    </dxf>
    <dxf>
      <fill>
        <patternFill>
          <bgColor theme="4" tint="0.39994506668294322"/>
        </patternFill>
      </fill>
    </dxf>
    <dxf>
      <border>
        <left style="thin">
          <color auto="1"/>
        </left>
        <right style="thin">
          <color auto="1"/>
        </right>
        <top style="thin">
          <color auto="1"/>
        </top>
        <bottom style="thin">
          <color auto="1"/>
        </bottom>
        <vertical/>
        <horizontal/>
      </border>
    </dxf>
    <dxf>
      <fill>
        <patternFill>
          <bgColor rgb="FFFF0000"/>
        </patternFill>
      </fill>
    </dxf>
    <dxf>
      <font>
        <color theme="0"/>
      </font>
      <fill>
        <patternFill>
          <bgColor theme="9"/>
        </patternFill>
      </fill>
    </dxf>
    <dxf>
      <font>
        <color theme="0"/>
      </font>
      <fill>
        <patternFill>
          <bgColor rgb="FFFF0000"/>
        </patternFill>
      </fill>
    </dxf>
    <dxf>
      <fill>
        <patternFill>
          <bgColor theme="4" tint="0.39994506668294322"/>
        </patternFill>
      </fill>
    </dxf>
    <dxf>
      <border>
        <left style="thin">
          <color auto="1"/>
        </left>
        <right style="thin">
          <color auto="1"/>
        </right>
        <top style="thin">
          <color auto="1"/>
        </top>
        <bottom style="thin">
          <color auto="1"/>
        </bottom>
        <vertical/>
        <horizontal/>
      </border>
    </dxf>
    <dxf>
      <fill>
        <patternFill>
          <bgColor theme="7" tint="0.59996337778862885"/>
        </patternFill>
      </fill>
    </dxf>
    <dxf>
      <font>
        <color theme="0"/>
      </font>
      <fill>
        <patternFill>
          <bgColor theme="9"/>
        </patternFill>
      </fill>
    </dxf>
    <dxf>
      <font>
        <color theme="0"/>
      </font>
      <fill>
        <patternFill>
          <bgColor rgb="FFFF0000"/>
        </patternFill>
      </fill>
    </dxf>
    <dxf>
      <font>
        <color theme="0"/>
      </font>
      <fill>
        <patternFill>
          <bgColor rgb="FFFF0000"/>
        </patternFill>
      </fill>
    </dxf>
    <dxf>
      <font>
        <color theme="0"/>
      </font>
      <fill>
        <patternFill>
          <bgColor rgb="FF00B050"/>
        </patternFill>
      </fill>
    </dxf>
    <dxf>
      <fill>
        <patternFill>
          <bgColor theme="4" tint="0.39994506668294322"/>
        </patternFill>
      </fill>
    </dxf>
    <dxf>
      <border>
        <left style="thin">
          <color auto="1"/>
        </left>
        <right style="thin">
          <color auto="1"/>
        </right>
        <top style="thin">
          <color auto="1"/>
        </top>
        <bottom style="thin">
          <color auto="1"/>
        </bottom>
        <vertical/>
        <horizontal/>
      </border>
    </dxf>
    <dxf>
      <fill>
        <patternFill>
          <bgColor rgb="FFFF0000"/>
        </patternFill>
      </fill>
    </dxf>
    <dxf>
      <font>
        <color theme="0"/>
      </font>
      <fill>
        <patternFill>
          <bgColor theme="9"/>
        </patternFill>
      </fill>
    </dxf>
    <dxf>
      <font>
        <color theme="0"/>
      </font>
      <fill>
        <patternFill>
          <bgColor rgb="FFFF0000"/>
        </patternFill>
      </fill>
    </dxf>
    <dxf>
      <fill>
        <patternFill>
          <bgColor theme="4" tint="0.39994506668294322"/>
        </patternFill>
      </fill>
    </dxf>
    <dxf>
      <border>
        <left style="thin">
          <color auto="1"/>
        </left>
        <right style="thin">
          <color auto="1"/>
        </right>
        <top style="thin">
          <color auto="1"/>
        </top>
        <bottom style="thin">
          <color auto="1"/>
        </bottom>
        <vertical/>
        <horizontal/>
      </border>
    </dxf>
    <dxf>
      <fill>
        <patternFill>
          <bgColor theme="7" tint="0.59996337778862885"/>
        </patternFill>
      </fill>
    </dxf>
    <dxf>
      <font>
        <color theme="0"/>
      </font>
      <fill>
        <patternFill>
          <bgColor theme="9"/>
        </patternFill>
      </fill>
    </dxf>
    <dxf>
      <font>
        <color theme="0"/>
      </font>
      <fill>
        <patternFill>
          <bgColor rgb="FFFF0000"/>
        </patternFill>
      </fill>
    </dxf>
    <dxf>
      <font>
        <color theme="0"/>
      </font>
      <fill>
        <patternFill>
          <bgColor rgb="FFFF0000"/>
        </patternFill>
      </fill>
    </dxf>
    <dxf>
      <font>
        <color theme="0"/>
      </font>
      <fill>
        <patternFill>
          <bgColor rgb="FF00B050"/>
        </patternFill>
      </fill>
    </dxf>
    <dxf>
      <fill>
        <patternFill>
          <bgColor theme="4" tint="0.39994506668294322"/>
        </patternFill>
      </fill>
    </dxf>
    <dxf>
      <border>
        <left style="thin">
          <color auto="1"/>
        </left>
        <right style="thin">
          <color auto="1"/>
        </right>
        <top style="thin">
          <color auto="1"/>
        </top>
        <bottom style="thin">
          <color auto="1"/>
        </bottom>
        <vertical/>
        <horizontal/>
      </border>
    </dxf>
    <dxf>
      <fill>
        <patternFill>
          <bgColor rgb="FFFF0000"/>
        </patternFill>
      </fill>
    </dxf>
    <dxf>
      <font>
        <color theme="0"/>
      </font>
      <fill>
        <patternFill>
          <bgColor theme="9"/>
        </patternFill>
      </fill>
    </dxf>
    <dxf>
      <font>
        <color theme="0"/>
      </font>
      <fill>
        <patternFill>
          <bgColor rgb="FFFF0000"/>
        </patternFill>
      </fill>
    </dxf>
    <dxf>
      <fill>
        <patternFill>
          <bgColor theme="4" tint="0.39994506668294322"/>
        </patternFill>
      </fill>
    </dxf>
    <dxf>
      <border>
        <left style="thin">
          <color auto="1"/>
        </left>
        <right style="thin">
          <color auto="1"/>
        </right>
        <top style="thin">
          <color auto="1"/>
        </top>
        <bottom style="thin">
          <color auto="1"/>
        </bottom>
        <vertical/>
        <horizontal/>
      </border>
    </dxf>
    <dxf>
      <fill>
        <patternFill>
          <bgColor theme="7" tint="0.59996337778862885"/>
        </patternFill>
      </fill>
    </dxf>
    <dxf>
      <font>
        <color theme="0"/>
      </font>
      <fill>
        <patternFill>
          <bgColor theme="9"/>
        </patternFill>
      </fill>
    </dxf>
    <dxf>
      <font>
        <color theme="0"/>
      </font>
      <fill>
        <patternFill>
          <bgColor rgb="FFFF0000"/>
        </patternFill>
      </fill>
    </dxf>
    <dxf>
      <font>
        <color theme="0"/>
      </font>
      <fill>
        <patternFill>
          <bgColor rgb="FFFF0000"/>
        </patternFill>
      </fill>
    </dxf>
    <dxf>
      <font>
        <color theme="0"/>
      </font>
      <fill>
        <patternFill>
          <bgColor rgb="FF00B050"/>
        </patternFill>
      </fill>
    </dxf>
    <dxf>
      <fill>
        <patternFill>
          <bgColor theme="4" tint="0.39994506668294322"/>
        </patternFill>
      </fill>
    </dxf>
    <dxf>
      <border>
        <left style="thin">
          <color auto="1"/>
        </left>
        <right style="thin">
          <color auto="1"/>
        </right>
        <top style="thin">
          <color auto="1"/>
        </top>
        <bottom style="thin">
          <color auto="1"/>
        </bottom>
        <vertical/>
        <horizontal/>
      </border>
    </dxf>
    <dxf>
      <fill>
        <patternFill>
          <bgColor rgb="FFFF0000"/>
        </patternFill>
      </fill>
    </dxf>
    <dxf>
      <font>
        <color theme="0"/>
      </font>
      <fill>
        <patternFill>
          <bgColor theme="9"/>
        </patternFill>
      </fill>
    </dxf>
    <dxf>
      <font>
        <color theme="0"/>
      </font>
      <fill>
        <patternFill>
          <bgColor rgb="FFFF0000"/>
        </patternFill>
      </fill>
    </dxf>
    <dxf>
      <fill>
        <patternFill>
          <bgColor theme="4" tint="0.39994506668294322"/>
        </patternFill>
      </fill>
    </dxf>
    <dxf>
      <border>
        <left style="thin">
          <color auto="1"/>
        </left>
        <right style="thin">
          <color auto="1"/>
        </right>
        <top style="thin">
          <color auto="1"/>
        </top>
        <bottom style="thin">
          <color auto="1"/>
        </bottom>
        <vertical/>
        <horizontal/>
      </border>
    </dxf>
    <dxf>
      <fill>
        <patternFill>
          <bgColor theme="7" tint="0.59996337778862885"/>
        </patternFill>
      </fill>
    </dxf>
    <dxf>
      <font>
        <color theme="0"/>
      </font>
      <fill>
        <patternFill>
          <bgColor theme="9"/>
        </patternFill>
      </fill>
    </dxf>
    <dxf>
      <font>
        <color theme="0"/>
      </font>
      <fill>
        <patternFill>
          <bgColor rgb="FFFF0000"/>
        </patternFill>
      </fill>
    </dxf>
    <dxf>
      <font>
        <color theme="0"/>
      </font>
      <fill>
        <patternFill>
          <bgColor rgb="FFFF0000"/>
        </patternFill>
      </fill>
    </dxf>
    <dxf>
      <font>
        <color theme="0"/>
      </font>
      <fill>
        <patternFill>
          <bgColor rgb="FF00B050"/>
        </patternFill>
      </fill>
    </dxf>
    <dxf>
      <border>
        <left style="thin">
          <color auto="1"/>
        </left>
        <right style="thin">
          <color auto="1"/>
        </right>
        <top style="thin">
          <color auto="1"/>
        </top>
        <bottom style="thin">
          <color auto="1"/>
        </bottom>
        <vertical/>
        <horizontal/>
      </border>
    </dxf>
    <dxf>
      <fill>
        <patternFill>
          <bgColor theme="4" tint="0.39994506668294322"/>
        </patternFill>
      </fill>
    </dxf>
    <dxf>
      <fill>
        <patternFill>
          <bgColor rgb="FFFF0000"/>
        </patternFill>
      </fill>
    </dxf>
    <dxf>
      <font>
        <color theme="0"/>
      </font>
      <fill>
        <patternFill>
          <bgColor theme="9"/>
        </patternFill>
      </fill>
    </dxf>
    <dxf>
      <font>
        <color theme="0"/>
      </font>
      <fill>
        <patternFill>
          <bgColor rgb="FFFF0000"/>
        </patternFill>
      </fill>
    </dxf>
    <dxf>
      <fill>
        <patternFill>
          <bgColor theme="4" tint="0.39994506668294322"/>
        </patternFill>
      </fill>
    </dxf>
    <dxf>
      <border>
        <left style="thin">
          <color auto="1"/>
        </left>
        <right style="thin">
          <color auto="1"/>
        </right>
        <top style="thin">
          <color auto="1"/>
        </top>
        <bottom style="thin">
          <color auto="1"/>
        </bottom>
        <vertical/>
        <horizontal/>
      </border>
    </dxf>
    <dxf>
      <fill>
        <patternFill>
          <bgColor theme="7" tint="0.59996337778862885"/>
        </patternFill>
      </fill>
    </dxf>
    <dxf>
      <font>
        <color theme="0"/>
      </font>
      <fill>
        <patternFill>
          <bgColor theme="9"/>
        </patternFill>
      </fill>
    </dxf>
    <dxf>
      <font>
        <color theme="0"/>
      </font>
      <fill>
        <patternFill>
          <bgColor rgb="FFFF0000"/>
        </patternFill>
      </fill>
    </dxf>
    <dxf>
      <font>
        <color theme="0"/>
      </font>
      <fill>
        <patternFill>
          <bgColor rgb="FFFF0000"/>
        </patternFill>
      </fill>
    </dxf>
    <dxf>
      <font>
        <color theme="0"/>
      </font>
      <fill>
        <patternFill>
          <bgColor rgb="FF00B050"/>
        </patternFill>
      </fill>
    </dxf>
    <dxf>
      <fill>
        <patternFill>
          <bgColor theme="4" tint="0.39994506668294322"/>
        </patternFill>
      </fill>
    </dxf>
    <dxf>
      <border>
        <left style="thin">
          <color auto="1"/>
        </left>
        <right style="thin">
          <color auto="1"/>
        </right>
        <top style="thin">
          <color auto="1"/>
        </top>
        <bottom style="thin">
          <color auto="1"/>
        </bottom>
        <vertical/>
        <horizontal/>
      </border>
    </dxf>
    <dxf>
      <fill>
        <patternFill>
          <bgColor rgb="FFFF0000"/>
        </patternFill>
      </fill>
    </dxf>
    <dxf>
      <font>
        <color theme="0"/>
      </font>
      <fill>
        <patternFill>
          <bgColor theme="9"/>
        </patternFill>
      </fill>
    </dxf>
    <dxf>
      <font>
        <color theme="0"/>
      </font>
      <fill>
        <patternFill>
          <bgColor rgb="FFFF0000"/>
        </patternFill>
      </fill>
    </dxf>
    <dxf>
      <fill>
        <patternFill>
          <bgColor theme="4" tint="0.39994506668294322"/>
        </patternFill>
      </fill>
    </dxf>
    <dxf>
      <border>
        <left style="thin">
          <color auto="1"/>
        </left>
        <right style="thin">
          <color auto="1"/>
        </right>
        <top style="thin">
          <color auto="1"/>
        </top>
        <bottom style="thin">
          <color auto="1"/>
        </bottom>
        <vertical/>
        <horizontal/>
      </border>
    </dxf>
    <dxf>
      <fill>
        <patternFill>
          <bgColor theme="7" tint="0.59996337778862885"/>
        </patternFill>
      </fill>
    </dxf>
    <dxf>
      <font>
        <color theme="0"/>
      </font>
      <fill>
        <patternFill>
          <bgColor theme="9"/>
        </patternFill>
      </fill>
    </dxf>
    <dxf>
      <font>
        <color theme="0"/>
      </font>
      <fill>
        <patternFill>
          <bgColor rgb="FFFF0000"/>
        </patternFill>
      </fill>
    </dxf>
    <dxf>
      <font>
        <color theme="0"/>
      </font>
      <fill>
        <patternFill>
          <bgColor rgb="FFFF0000"/>
        </patternFill>
      </fill>
    </dxf>
    <dxf>
      <font>
        <color theme="0"/>
      </font>
      <fill>
        <patternFill>
          <bgColor rgb="FF00B050"/>
        </patternFill>
      </fill>
    </dxf>
    <dxf>
      <fill>
        <patternFill>
          <bgColor theme="4" tint="0.39994506668294322"/>
        </patternFill>
      </fill>
    </dxf>
    <dxf>
      <border>
        <left style="thin">
          <color auto="1"/>
        </left>
        <right style="thin">
          <color auto="1"/>
        </right>
        <top style="thin">
          <color auto="1"/>
        </top>
        <bottom style="thin">
          <color auto="1"/>
        </bottom>
        <vertical/>
        <horizontal/>
      </border>
    </dxf>
    <dxf>
      <fill>
        <patternFill>
          <bgColor rgb="FFFF0000"/>
        </patternFill>
      </fill>
    </dxf>
    <dxf>
      <font>
        <color theme="0"/>
      </font>
      <fill>
        <patternFill>
          <bgColor theme="9"/>
        </patternFill>
      </fill>
    </dxf>
    <dxf>
      <font>
        <color theme="0"/>
      </font>
      <fill>
        <patternFill>
          <bgColor rgb="FFFF0000"/>
        </patternFill>
      </fill>
    </dxf>
    <dxf>
      <fill>
        <patternFill>
          <bgColor theme="4" tint="0.39994506668294322"/>
        </patternFill>
      </fill>
    </dxf>
    <dxf>
      <border>
        <left style="thin">
          <color auto="1"/>
        </left>
        <right style="thin">
          <color auto="1"/>
        </right>
        <top style="thin">
          <color auto="1"/>
        </top>
        <bottom style="thin">
          <color auto="1"/>
        </bottom>
        <vertical/>
        <horizontal/>
      </border>
    </dxf>
    <dxf>
      <fill>
        <patternFill>
          <bgColor theme="7" tint="0.59996337778862885"/>
        </patternFill>
      </fill>
    </dxf>
    <dxf>
      <font>
        <color theme="0"/>
      </font>
      <fill>
        <patternFill>
          <bgColor theme="9"/>
        </patternFill>
      </fill>
    </dxf>
    <dxf>
      <font>
        <color theme="0"/>
      </font>
      <fill>
        <patternFill>
          <bgColor rgb="FFFF0000"/>
        </patternFill>
      </fill>
    </dxf>
    <dxf>
      <font>
        <color theme="0"/>
      </font>
      <fill>
        <patternFill>
          <bgColor rgb="FFFF0000"/>
        </patternFill>
      </fill>
    </dxf>
    <dxf>
      <font>
        <color theme="0"/>
      </font>
      <fill>
        <patternFill>
          <bgColor rgb="FF00B050"/>
        </patternFill>
      </fill>
    </dxf>
    <dxf>
      <fill>
        <patternFill>
          <bgColor theme="4" tint="0.39994506668294322"/>
        </patternFill>
      </fill>
    </dxf>
    <dxf>
      <border>
        <left style="thin">
          <color auto="1"/>
        </left>
        <right style="thin">
          <color auto="1"/>
        </right>
        <top style="thin">
          <color auto="1"/>
        </top>
        <bottom style="thin">
          <color auto="1"/>
        </bottom>
        <vertical/>
        <horizontal/>
      </border>
    </dxf>
    <dxf>
      <fill>
        <patternFill>
          <bgColor rgb="FFFF0000"/>
        </patternFill>
      </fill>
    </dxf>
    <dxf>
      <font>
        <color theme="0"/>
      </font>
      <fill>
        <patternFill>
          <bgColor theme="9"/>
        </patternFill>
      </fill>
    </dxf>
    <dxf>
      <font>
        <color theme="0"/>
      </font>
      <fill>
        <patternFill>
          <bgColor rgb="FFFF0000"/>
        </patternFill>
      </fill>
    </dxf>
    <dxf>
      <fill>
        <patternFill>
          <bgColor theme="4" tint="0.39994506668294322"/>
        </patternFill>
      </fill>
    </dxf>
    <dxf>
      <border>
        <left style="thin">
          <color auto="1"/>
        </left>
        <right style="thin">
          <color auto="1"/>
        </right>
        <top style="thin">
          <color auto="1"/>
        </top>
        <bottom style="thin">
          <color auto="1"/>
        </bottom>
        <vertical/>
        <horizontal/>
      </border>
    </dxf>
    <dxf>
      <fill>
        <patternFill>
          <bgColor theme="7" tint="0.59996337778862885"/>
        </patternFill>
      </fill>
    </dxf>
    <dxf>
      <font>
        <color theme="0"/>
      </font>
      <fill>
        <patternFill>
          <bgColor theme="9"/>
        </patternFill>
      </fill>
    </dxf>
    <dxf>
      <font>
        <color theme="0"/>
      </font>
      <fill>
        <patternFill>
          <bgColor rgb="FFFF0000"/>
        </patternFill>
      </fill>
    </dxf>
    <dxf>
      <font>
        <color theme="0"/>
      </font>
      <fill>
        <patternFill>
          <bgColor rgb="FFFF0000"/>
        </patternFill>
      </fill>
    </dxf>
    <dxf>
      <font>
        <color theme="0"/>
      </font>
      <fill>
        <patternFill>
          <bgColor rgb="FF00B050"/>
        </patternFill>
      </fill>
    </dxf>
    <dxf>
      <fill>
        <patternFill>
          <bgColor theme="4" tint="0.39994506668294322"/>
        </patternFill>
      </fill>
    </dxf>
    <dxf>
      <border>
        <left style="thin">
          <color auto="1"/>
        </left>
        <right style="thin">
          <color auto="1"/>
        </right>
        <top style="thin">
          <color auto="1"/>
        </top>
        <bottom style="thin">
          <color auto="1"/>
        </bottom>
        <vertical/>
        <horizontal/>
      </border>
    </dxf>
    <dxf>
      <fill>
        <patternFill>
          <bgColor rgb="FFFF0000"/>
        </patternFill>
      </fill>
    </dxf>
    <dxf>
      <font>
        <color theme="0"/>
      </font>
      <fill>
        <patternFill>
          <bgColor theme="9"/>
        </patternFill>
      </fill>
    </dxf>
    <dxf>
      <font>
        <color theme="0"/>
      </font>
      <fill>
        <patternFill>
          <bgColor rgb="FFFF0000"/>
        </patternFill>
      </fill>
    </dxf>
    <dxf>
      <fill>
        <patternFill>
          <bgColor theme="4" tint="0.39994506668294322"/>
        </patternFill>
      </fill>
    </dxf>
    <dxf>
      <border>
        <left style="thin">
          <color auto="1"/>
        </left>
        <right style="thin">
          <color auto="1"/>
        </right>
        <top style="thin">
          <color auto="1"/>
        </top>
        <bottom style="thin">
          <color auto="1"/>
        </bottom>
        <vertical/>
        <horizontal/>
      </border>
    </dxf>
    <dxf>
      <fill>
        <patternFill>
          <bgColor theme="7" tint="0.59996337778862885"/>
        </patternFill>
      </fill>
    </dxf>
    <dxf>
      <font>
        <color theme="0"/>
      </font>
      <fill>
        <patternFill>
          <bgColor theme="9"/>
        </patternFill>
      </fill>
    </dxf>
    <dxf>
      <font>
        <color theme="0"/>
      </font>
      <fill>
        <patternFill>
          <bgColor rgb="FFFF0000"/>
        </patternFill>
      </fill>
    </dxf>
    <dxf>
      <font>
        <color theme="0"/>
      </font>
      <fill>
        <patternFill>
          <bgColor rgb="FFFF0000"/>
        </patternFill>
      </fill>
    </dxf>
    <dxf>
      <font>
        <color theme="0"/>
      </font>
      <fill>
        <patternFill>
          <bgColor rgb="FF00B050"/>
        </patternFill>
      </fill>
    </dxf>
    <dxf>
      <fill>
        <patternFill>
          <bgColor theme="4" tint="0.39994506668294322"/>
        </patternFill>
      </fill>
    </dxf>
    <dxf>
      <border>
        <left style="thin">
          <color auto="1"/>
        </left>
        <right style="thin">
          <color auto="1"/>
        </right>
        <top style="thin">
          <color auto="1"/>
        </top>
        <bottom style="thin">
          <color auto="1"/>
        </bottom>
        <vertical/>
        <horizontal/>
      </border>
    </dxf>
    <dxf>
      <fill>
        <patternFill>
          <bgColor rgb="FFFF0000"/>
        </patternFill>
      </fill>
    </dxf>
    <dxf>
      <fill>
        <patternFill>
          <bgColor theme="7" tint="0.59996337778862885"/>
        </patternFill>
      </fill>
    </dxf>
    <dxf>
      <font>
        <color theme="0"/>
      </font>
      <fill>
        <patternFill>
          <bgColor theme="9"/>
        </patternFill>
      </fill>
    </dxf>
    <dxf>
      <font>
        <color theme="0"/>
      </font>
      <fill>
        <patternFill>
          <bgColor rgb="FFFF0000"/>
        </patternFill>
      </fill>
    </dxf>
    <dxf>
      <font>
        <color theme="0"/>
      </font>
      <fill>
        <patternFill>
          <bgColor rgb="FFFF0000"/>
        </patternFill>
      </fill>
    </dxf>
    <dxf>
      <font>
        <color theme="0"/>
      </font>
      <fill>
        <patternFill>
          <bgColor rgb="FF00B050"/>
        </patternFill>
      </fill>
    </dxf>
    <dxf>
      <fill>
        <patternFill>
          <bgColor theme="4" tint="0.39994506668294322"/>
        </patternFill>
      </fill>
    </dxf>
    <dxf>
      <border>
        <left style="thin">
          <color auto="1"/>
        </left>
        <right style="thin">
          <color auto="1"/>
        </right>
        <top style="thin">
          <color auto="1"/>
        </top>
        <bottom style="thin">
          <color auto="1"/>
        </bottom>
        <vertical/>
        <horizontal/>
      </border>
    </dxf>
    <dxf>
      <fill>
        <patternFill>
          <bgColor rgb="FFFF0000"/>
        </patternFill>
      </fill>
    </dxf>
    <dxf>
      <font>
        <color theme="0"/>
      </font>
      <fill>
        <patternFill>
          <bgColor theme="9"/>
        </patternFill>
      </fill>
    </dxf>
    <dxf>
      <font>
        <color theme="0"/>
      </font>
      <fill>
        <patternFill>
          <bgColor rgb="FFFF0000"/>
        </patternFill>
      </fill>
    </dxf>
    <dxf>
      <fill>
        <patternFill>
          <bgColor theme="4" tint="0.39994506668294322"/>
        </patternFill>
      </fill>
    </dxf>
    <dxf>
      <border>
        <left style="thin">
          <color auto="1"/>
        </left>
        <right style="thin">
          <color auto="1"/>
        </right>
        <top style="thin">
          <color auto="1"/>
        </top>
        <bottom style="thin">
          <color auto="1"/>
        </bottom>
        <vertical/>
        <horizontal/>
      </border>
    </dxf>
    <dxf>
      <fill>
        <patternFill>
          <bgColor theme="7" tint="0.59996337778862885"/>
        </patternFill>
      </fill>
    </dxf>
    <dxf>
      <font>
        <color theme="0"/>
      </font>
      <fill>
        <patternFill>
          <bgColor theme="9"/>
        </patternFill>
      </fill>
    </dxf>
    <dxf>
      <font>
        <color theme="0"/>
      </font>
      <fill>
        <patternFill>
          <bgColor rgb="FFFF0000"/>
        </patternFill>
      </fill>
    </dxf>
    <dxf>
      <font>
        <color theme="0"/>
      </font>
      <fill>
        <patternFill>
          <bgColor rgb="FFFF0000"/>
        </patternFill>
      </fill>
    </dxf>
    <dxf>
      <font>
        <color theme="0"/>
      </font>
      <fill>
        <patternFill>
          <bgColor rgb="FF00B050"/>
        </patternFill>
      </fill>
    </dxf>
    <dxf>
      <fill>
        <patternFill>
          <bgColor theme="4" tint="0.39994506668294322"/>
        </patternFill>
      </fill>
    </dxf>
    <dxf>
      <border>
        <left style="thin">
          <color auto="1"/>
        </left>
        <right style="thin">
          <color auto="1"/>
        </right>
        <top style="thin">
          <color auto="1"/>
        </top>
        <bottom style="thin">
          <color auto="1"/>
        </bottom>
        <vertical/>
        <horizontal/>
      </border>
    </dxf>
    <dxf>
      <fill>
        <patternFill>
          <bgColor rgb="FFFF0000"/>
        </patternFill>
      </fill>
    </dxf>
    <dxf>
      <font>
        <color theme="0"/>
      </font>
      <fill>
        <patternFill>
          <bgColor theme="9"/>
        </patternFill>
      </fill>
    </dxf>
    <dxf>
      <font>
        <color theme="0"/>
      </font>
      <fill>
        <patternFill>
          <bgColor rgb="FFFF0000"/>
        </patternFill>
      </fill>
    </dxf>
    <dxf>
      <fill>
        <patternFill>
          <bgColor theme="4" tint="0.39994506668294322"/>
        </patternFill>
      </fill>
    </dxf>
    <dxf>
      <border>
        <left style="thin">
          <color auto="1"/>
        </left>
        <right style="thin">
          <color auto="1"/>
        </right>
        <top style="thin">
          <color auto="1"/>
        </top>
        <bottom style="thin">
          <color auto="1"/>
        </bottom>
        <vertical/>
        <horizontal/>
      </border>
    </dxf>
    <dxf>
      <fill>
        <patternFill>
          <bgColor theme="7" tint="0.59996337778862885"/>
        </patternFill>
      </fill>
    </dxf>
    <dxf>
      <font>
        <color theme="0"/>
      </font>
      <fill>
        <patternFill>
          <bgColor theme="9"/>
        </patternFill>
      </fill>
    </dxf>
    <dxf>
      <font>
        <color theme="0"/>
      </font>
      <fill>
        <patternFill>
          <bgColor rgb="FFFF0000"/>
        </patternFill>
      </fill>
    </dxf>
    <dxf>
      <font>
        <color theme="0"/>
      </font>
      <fill>
        <patternFill>
          <bgColor rgb="FFFF0000"/>
        </patternFill>
      </fill>
    </dxf>
    <dxf>
      <font>
        <color theme="0"/>
      </font>
      <fill>
        <patternFill>
          <bgColor rgb="FF00B050"/>
        </patternFill>
      </fill>
    </dxf>
    <dxf>
      <fill>
        <patternFill>
          <bgColor theme="4" tint="0.39994506668294322"/>
        </patternFill>
      </fill>
    </dxf>
    <dxf>
      <border>
        <left style="thin">
          <color auto="1"/>
        </left>
        <right style="thin">
          <color auto="1"/>
        </right>
        <top style="thin">
          <color auto="1"/>
        </top>
        <bottom style="thin">
          <color auto="1"/>
        </bottom>
        <vertical/>
        <horizontal/>
      </border>
    </dxf>
    <dxf>
      <fill>
        <patternFill>
          <bgColor rgb="FFFF0000"/>
        </patternFill>
      </fill>
    </dxf>
    <dxf>
      <font>
        <color theme="0"/>
      </font>
      <fill>
        <patternFill>
          <bgColor theme="9"/>
        </patternFill>
      </fill>
    </dxf>
    <dxf>
      <font>
        <color theme="0"/>
      </font>
      <fill>
        <patternFill>
          <bgColor rgb="FFFF0000"/>
        </patternFill>
      </fill>
    </dxf>
    <dxf>
      <fill>
        <patternFill>
          <bgColor theme="7" tint="0.59996337778862885"/>
        </patternFill>
      </fill>
    </dxf>
    <dxf>
      <font>
        <color theme="0"/>
      </font>
      <fill>
        <patternFill>
          <bgColor rgb="FFFF0000"/>
        </patternFill>
      </fill>
    </dxf>
    <dxf>
      <font>
        <color theme="0"/>
      </font>
      <fill>
        <patternFill>
          <bgColor rgb="FF00B050"/>
        </patternFill>
      </fill>
    </dxf>
    <dxf>
      <fill>
        <patternFill>
          <bgColor theme="4" tint="0.39994506668294322"/>
        </patternFill>
      </fill>
    </dxf>
    <dxf>
      <border>
        <left style="thin">
          <color auto="1"/>
        </left>
        <right style="thin">
          <color auto="1"/>
        </right>
        <top style="thin">
          <color auto="1"/>
        </top>
        <bottom style="thin">
          <color auto="1"/>
        </bottom>
        <vertical/>
        <horizontal/>
      </border>
    </dxf>
    <dxf>
      <fill>
        <patternFill>
          <bgColor rgb="FFFF0000"/>
        </patternFill>
      </fill>
    </dxf>
    <dxf>
      <font>
        <color theme="0"/>
      </font>
      <fill>
        <patternFill>
          <bgColor rgb="FF00B050"/>
        </patternFill>
      </fill>
    </dxf>
    <dxf>
      <font>
        <color theme="0"/>
      </font>
      <fill>
        <patternFill>
          <bgColor rgb="FFFF0000"/>
        </patternFill>
      </fill>
    </dxf>
    <dxf>
      <font>
        <b/>
        <i val="0"/>
        <color rgb="FFFF0000"/>
      </font>
    </dxf>
    <dxf>
      <font>
        <b/>
        <i val="0"/>
        <color rgb="FFFF0000"/>
      </font>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border>
        <left style="thin">
          <color auto="1"/>
        </left>
        <right style="thin">
          <color auto="1"/>
        </right>
        <top style="thin">
          <color auto="1"/>
        </top>
        <bottom style="thin">
          <color auto="1"/>
        </bottom>
        <vertical/>
        <horizontal/>
      </border>
    </dxf>
    <dxf>
      <fill>
        <patternFill>
          <bgColor theme="9" tint="0.79998168889431442"/>
        </patternFill>
      </fill>
    </dxf>
    <dxf>
      <fill>
        <patternFill>
          <bgColor theme="5" tint="0.79998168889431442"/>
        </patternFill>
      </fill>
    </dxf>
    <dxf>
      <fill>
        <patternFill>
          <bgColor theme="9" tint="0.79998168889431442"/>
        </patternFill>
      </fill>
    </dxf>
    <dxf>
      <fill>
        <patternFill>
          <bgColor theme="5" tint="0.79998168889431442"/>
        </patternFill>
      </fill>
    </dxf>
    <dxf>
      <fill>
        <patternFill>
          <bgColor theme="9" tint="0.79998168889431442"/>
        </patternFill>
      </fill>
    </dxf>
    <dxf>
      <fill>
        <patternFill>
          <bgColor theme="5" tint="0.79998168889431442"/>
        </patternFill>
      </fill>
    </dxf>
    <dxf>
      <fill>
        <patternFill>
          <bgColor theme="9" tint="0.79998168889431442"/>
        </patternFill>
      </fill>
    </dxf>
    <dxf>
      <fill>
        <patternFill>
          <bgColor theme="5" tint="0.79998168889431442"/>
        </patternFill>
      </fill>
    </dxf>
    <dxf>
      <fill>
        <patternFill>
          <bgColor theme="9" tint="0.79998168889431442"/>
        </patternFill>
      </fill>
    </dxf>
    <dxf>
      <fill>
        <patternFill>
          <bgColor theme="5" tint="0.79998168889431442"/>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17/06/relationships/rdRichValueStructure" Target="richData/rdrichvaluestructure.xml"/><Relationship Id="rId3" Type="http://schemas.openxmlformats.org/officeDocument/2006/relationships/worksheet" Target="worksheets/sheet3.xml"/><Relationship Id="rId21" Type="http://schemas.openxmlformats.org/officeDocument/2006/relationships/styles" Target="styles.xml"/><Relationship Id="rId34"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17/06/relationships/rdRichValue" Target="richData/rdrichvalue.xml"/><Relationship Id="rId33"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29" Type="http://schemas.microsoft.com/office/2017/06/relationships/rdSupportingPropertyBagStructure" Target="richData/rdsupportingpropertybagstructure.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20/07/relationships/rdRichValueWebImage" Target="richData/rdRichValueWebImage.xml"/><Relationship Id="rId32"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28" Type="http://schemas.microsoft.com/office/2017/06/relationships/richStyles" Target="richData/richStyles.xml"/><Relationship Id="rId36"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17/06/relationships/rdRichValueTypes" Target="richData/rdRichValueTyp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 Id="rId27" Type="http://schemas.microsoft.com/office/2017/06/relationships/rdArray" Target="richData/rdarray.xml"/><Relationship Id="rId30" Type="http://schemas.microsoft.com/office/2017/06/relationships/rdSupportingPropertyBag" Target="richData/rdsupportingpropertybag.xml"/><Relationship Id="rId35" Type="http://schemas.openxmlformats.org/officeDocument/2006/relationships/customXml" Target="../customXml/item3.xml"/><Relationship Id="rId8" Type="http://schemas.openxmlformats.org/officeDocument/2006/relationships/worksheet" Target="worksheets/sheet8.xml"/></Relationships>
</file>

<file path=xl/ctrlProps/ctrlProp1.xml><?xml version="1.0" encoding="utf-8"?>
<formControlPr xmlns="http://schemas.microsoft.com/office/spreadsheetml/2009/9/main" objectType="Drop" dropStyle="combo" dx="22" fmlaLink="$A$22" fmlaRange="$A$23:$A$34" sel="6" val="0"/>
</file>

<file path=xl/ctrlProps/ctrlProp2.xml><?xml version="1.0" encoding="utf-8"?>
<formControlPr xmlns="http://schemas.microsoft.com/office/spreadsheetml/2009/9/main" objectType="Drop" dropStyle="combo" dx="22" fmlaLink="$A$36" fmlaRange="$A$37:$A$40" sel="2" val="0"/>
</file>

<file path=xl/ctrlProps/ctrlProp3.xml><?xml version="1.0" encoding="utf-8"?>
<formControlPr xmlns="http://schemas.microsoft.com/office/spreadsheetml/2009/9/main" objectType="Drop" dropStyle="combo" dx="22" fmlaLink="$A$2" fmlaRange="$A$5:$A$20" sel="11" val="0"/>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847725</xdr:colOff>
          <xdr:row>1</xdr:row>
          <xdr:rowOff>28575</xdr:rowOff>
        </xdr:from>
        <xdr:to>
          <xdr:col>6</xdr:col>
          <xdr:colOff>781050</xdr:colOff>
          <xdr:row>2</xdr:row>
          <xdr:rowOff>152400</xdr:rowOff>
        </xdr:to>
        <xdr:sp macro="" textlink="">
          <xdr:nvSpPr>
            <xdr:cNvPr id="18433" name="Drop Down 1" hidden="1">
              <a:extLst>
                <a:ext uri="{63B3BB69-23CF-44E3-9099-C40C66FF867C}">
                  <a14:compatExt spid="_x0000_s18433"/>
                </a:ext>
                <a:ext uri="{FF2B5EF4-FFF2-40B4-BE49-F238E27FC236}">
                  <a16:creationId xmlns:a16="http://schemas.microsoft.com/office/drawing/2014/main" id="{00000000-0008-0000-0200-000001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47625</xdr:colOff>
          <xdr:row>1</xdr:row>
          <xdr:rowOff>28575</xdr:rowOff>
        </xdr:from>
        <xdr:to>
          <xdr:col>7</xdr:col>
          <xdr:colOff>1609725</xdr:colOff>
          <xdr:row>2</xdr:row>
          <xdr:rowOff>142875</xdr:rowOff>
        </xdr:to>
        <xdr:sp macro="" textlink="">
          <xdr:nvSpPr>
            <xdr:cNvPr id="18434" name="Drop Down 2" hidden="1">
              <a:extLst>
                <a:ext uri="{63B3BB69-23CF-44E3-9099-C40C66FF867C}">
                  <a14:compatExt spid="_x0000_s18434"/>
                </a:ext>
                <a:ext uri="{FF2B5EF4-FFF2-40B4-BE49-F238E27FC236}">
                  <a16:creationId xmlns:a16="http://schemas.microsoft.com/office/drawing/2014/main" id="{00000000-0008-0000-0200-000002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1</xdr:row>
          <xdr:rowOff>47625</xdr:rowOff>
        </xdr:from>
        <xdr:to>
          <xdr:col>4</xdr:col>
          <xdr:colOff>1590675</xdr:colOff>
          <xdr:row>2</xdr:row>
          <xdr:rowOff>161925</xdr:rowOff>
        </xdr:to>
        <xdr:sp macro="" textlink="">
          <xdr:nvSpPr>
            <xdr:cNvPr id="18435" name="Drop Down 3" hidden="1">
              <a:extLst>
                <a:ext uri="{63B3BB69-23CF-44E3-9099-C40C66FF867C}">
                  <a14:compatExt spid="_x0000_s18435"/>
                </a:ext>
                <a:ext uri="{FF2B5EF4-FFF2-40B4-BE49-F238E27FC236}">
                  <a16:creationId xmlns:a16="http://schemas.microsoft.com/office/drawing/2014/main" id="{00000000-0008-0000-0200-000003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richData/_rels/rdRichValueWebImage.xml.rels><?xml version="1.0" encoding="UTF-8" standalone="yes"?>
<Relationships xmlns="http://schemas.openxmlformats.org/package/2006/relationships"><Relationship Id="rId8" Type="http://schemas.openxmlformats.org/officeDocument/2006/relationships/hyperlink" Target="https://www.bing.com/images/search?form=xlimg&amp;q=hong+kong" TargetMode="External"/><Relationship Id="rId13" Type="http://schemas.openxmlformats.org/officeDocument/2006/relationships/hyperlink" Target="https://www.bing.com/th?id=AMMS_0dc5729eea283556f638691ed96ea412&amp;qlt=95" TargetMode="External"/><Relationship Id="rId18" Type="http://schemas.openxmlformats.org/officeDocument/2006/relationships/hyperlink" Target="https://www.bing.com/images/search?form=xlimg&amp;q=singapore" TargetMode="External"/><Relationship Id="rId26" Type="http://schemas.openxmlformats.org/officeDocument/2006/relationships/hyperlink" Target="https://www.bing.com/images/search?form=xlimg&amp;q=japan" TargetMode="External"/><Relationship Id="rId3" Type="http://schemas.openxmlformats.org/officeDocument/2006/relationships/hyperlink" Target="https://www.bing.com/th?id=AMMS_cd1b41c7d2d593f979ad21ba1fb61f9f&amp;qlt=95" TargetMode="External"/><Relationship Id="rId21" Type="http://schemas.openxmlformats.org/officeDocument/2006/relationships/hyperlink" Target="https://www.bing.com/th?id=AMMS_e5dff791152898de2b3d6a83a3a451f3&amp;qlt=95" TargetMode="External"/><Relationship Id="rId7" Type="http://schemas.openxmlformats.org/officeDocument/2006/relationships/hyperlink" Target="https://www.bing.com/th?id=AMMS_3979ecafe6097270176138ec6e82784f&amp;qlt=95" TargetMode="External"/><Relationship Id="rId12" Type="http://schemas.openxmlformats.org/officeDocument/2006/relationships/hyperlink" Target="https://www.bing.com/images/search?form=xlimg&amp;q=united+kingdom" TargetMode="External"/><Relationship Id="rId17" Type="http://schemas.openxmlformats.org/officeDocument/2006/relationships/hyperlink" Target="https://www.bing.com/th?id=AMMS_320d47071657bbd42cea6aa0c2470b78&amp;qlt=95" TargetMode="External"/><Relationship Id="rId25" Type="http://schemas.openxmlformats.org/officeDocument/2006/relationships/hyperlink" Target="https://www.bing.com/th?id=AMMS_db27f5af84d8aa7e3bb5a734007a972a&amp;qlt=95" TargetMode="External"/><Relationship Id="rId2" Type="http://schemas.openxmlformats.org/officeDocument/2006/relationships/hyperlink" Target="https://www.bing.com/images/search?form=xlimg&amp;q=united+states" TargetMode="External"/><Relationship Id="rId16" Type="http://schemas.openxmlformats.org/officeDocument/2006/relationships/hyperlink" Target="https://www.bing.com/images/search?form=xlimg&amp;q=thailand" TargetMode="External"/><Relationship Id="rId20" Type="http://schemas.openxmlformats.org/officeDocument/2006/relationships/hyperlink" Target="https://www.bing.com/images/search?form=xlimg&amp;q=china" TargetMode="External"/><Relationship Id="rId1" Type="http://schemas.openxmlformats.org/officeDocument/2006/relationships/hyperlink" Target="https://www.bing.com/th?id=AMMS_eacb69bc4c31823fb17872127a01601a&amp;qlt=95" TargetMode="External"/><Relationship Id="rId6" Type="http://schemas.openxmlformats.org/officeDocument/2006/relationships/hyperlink" Target="https://www.bing.com/images/search?form=xlimg&amp;q=malaysia" TargetMode="External"/><Relationship Id="rId11" Type="http://schemas.openxmlformats.org/officeDocument/2006/relationships/hyperlink" Target="https://www.bing.com/th?id=AMMS_08d2869d43a589e2a364e67dfd999853&amp;qlt=95" TargetMode="External"/><Relationship Id="rId24" Type="http://schemas.openxmlformats.org/officeDocument/2006/relationships/hyperlink" Target="https://www.bing.com/images/search?form=xlimg&amp;q=shenzhen" TargetMode="External"/><Relationship Id="rId5" Type="http://schemas.openxmlformats.org/officeDocument/2006/relationships/hyperlink" Target="https://www.bing.com/th?id=AMMS_757ba7b9a35f8d3e72ecaa086740e01d&amp;qlt=95" TargetMode="External"/><Relationship Id="rId15" Type="http://schemas.openxmlformats.org/officeDocument/2006/relationships/hyperlink" Target="https://www.bing.com/th?id=AMMS_3bf67bba06af4fc7f9912f94fa5e5744&amp;qlt=95" TargetMode="External"/><Relationship Id="rId23" Type="http://schemas.openxmlformats.org/officeDocument/2006/relationships/hyperlink" Target="https://www.bing.com/th?id=AMMS_f1b86eed25c8a69146227b10b123ec30&amp;qlt=95" TargetMode="External"/><Relationship Id="rId10" Type="http://schemas.openxmlformats.org/officeDocument/2006/relationships/hyperlink" Target="https://www.bing.com/images/search?form=xlimg&amp;q=indonesia" TargetMode="External"/><Relationship Id="rId19" Type="http://schemas.openxmlformats.org/officeDocument/2006/relationships/hyperlink" Target="https://www.bing.com/th?id=AMMS_c03555c62b260c90c8584cb6a620b53f&amp;qlt=95" TargetMode="External"/><Relationship Id="rId4" Type="http://schemas.openxmlformats.org/officeDocument/2006/relationships/hyperlink" Target="https://www.bing.com/images/search?form=xlimg&amp;q=australia" TargetMode="External"/><Relationship Id="rId9" Type="http://schemas.openxmlformats.org/officeDocument/2006/relationships/hyperlink" Target="https://www.bing.com/th?id=AMMS_87c7c051f5a1048171442a7cef689a6f&amp;qlt=95" TargetMode="External"/><Relationship Id="rId14" Type="http://schemas.openxmlformats.org/officeDocument/2006/relationships/hyperlink" Target="https://www.bing.com/images/search?form=xlimg&amp;q=philippines" TargetMode="External"/><Relationship Id="rId22" Type="http://schemas.openxmlformats.org/officeDocument/2006/relationships/hyperlink" Target="https://www.bing.com/images/search?form=xlimg&amp;q=shanghai" TargetMode="External"/></Relationships>
</file>

<file path=xl/richData/rdRichValueTypes.xml><?xml version="1.0" encoding="utf-8"?>
<rvTypesInfo xmlns="http://schemas.microsoft.com/office/spreadsheetml/2017/richdata2">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types>
    <type name="_imageurl">
      <keyFlags>
        <key name="Blip Identifier">
          <flag name="ShowInCardView" value="0"/>
        </key>
      </keyFlags>
    </type>
    <type name="_linkedentity">
      <keyFlags>
        <key name="%cvi">
          <flag name="ShowInCardView" value="0"/>
          <flag name="ShowInDotNotation" value="0"/>
          <flag name="ShowInAutoComplete" value="0"/>
          <flag name="ExcludeFromCalcComparison" value="1"/>
        </key>
      </keyFlags>
    </type>
    <type name="_linkedentitycore">
      <keyFlags>
        <key name="%EntityServiceId">
          <flag name="ShowInCardView" value="0"/>
          <flag name="ShowInDotNotation" value="0"/>
          <flag name="ShowInAutoComplete" value="0"/>
        </key>
        <key name="%EntitySubDomainId">
          <flag name="ShowInCardView" value="0"/>
          <flag name="ShowInDotNotation" value="0"/>
          <flag name="ShowInAutoComplete" value="0"/>
        </key>
        <key name="%EntityCulture">
          <flag name="ShowInCardView" value="0"/>
          <flag name="ShowInDotNotation" value="0"/>
          <flag name="ShowInAutoComplete" value="0"/>
        </key>
        <key name="%EntityId">
          <flag name="ShowInCardView" value="0"/>
          <flag name="ShowInDotNotation" value="0"/>
          <flag name="ShowInAutoComplete" value="0"/>
        </key>
        <key name="%IsRefreshable">
          <flag name="ShowInCardView" value="0"/>
          <flag name="ShowInAutoComplete" value="0"/>
          <flag name="ExcludeFromCalcComparison" value="1"/>
        </key>
        <key name="%ProviderInfo">
          <flag name="ShowInCardView" value="0"/>
          <flag name="ShowInDotNotation" value="0"/>
          <flag name="ShowInAutoComplete" value="0"/>
        </key>
        <key name="%DataProviderExternalLinkLogo">
          <flag name="ShowInCardView" value="0"/>
          <flag name="ShowInDotNotation" value="0"/>
          <flag name="ShowInAutoComplete" value="0"/>
        </key>
        <key name="%DataProviderExternalLink">
          <flag name="ShowInCardView" value="0"/>
          <flag name="ShowInDotNotation" value="0"/>
          <flag name="ShowInAutoComplete" value="0"/>
        </key>
        <key name="%OutdatedReason">
          <flag name="ShowInCardView" value="0"/>
          <flag name="ShowInDotNotation" value="0"/>
          <flag name="ShowInAutoComplete" value="0"/>
          <flag name="ExcludeFromCalcComparison" value="1"/>
        </key>
      </keyFlags>
    </type>
    <type name="_linkedentity2">
      <keyFlags>
        <key name="%EntityServiceId">
          <flag name="ShowInCardView" value="0"/>
          <flag name="ShowInDotNotation" value="0"/>
          <flag name="ShowInAutoComplete" value="0"/>
        </key>
        <key name="%EntityCulture">
          <flag name="ShowInCardView" value="0"/>
          <flag name="ShowInDotNotation" value="0"/>
          <flag name="ShowInAutoComplete" value="0"/>
        </key>
        <key name="%EntityId">
          <flag name="ShowInCardView" value="0"/>
          <flag name="ShowInDotNotation" value="0"/>
          <flag name="ShowInAutoComplete" value="0"/>
        </key>
        <key name="%cvi">
          <flag name="ShowInCardView" value="0"/>
          <flag name="ShowInDotNotation" value="0"/>
          <flag name="ShowInAutoComplete" value="0"/>
          <flag name="ExcludeFromCalcComparison" value="1"/>
        </key>
      </keyFlags>
    </type>
    <type name="_linkedentity2core">
      <keyFlags>
        <key name="%EntityServiceId">
          <flag name="ShowInCardView" value="0"/>
          <flag name="ShowInDotNotation" value="0"/>
          <flag name="ShowInAutoComplete" value="0"/>
        </key>
        <key name="%EntityCulture">
          <flag name="ShowInCardView" value="0"/>
          <flag name="ShowInDotNotation" value="0"/>
          <flag name="ShowInAutoComplete" value="0"/>
        </key>
        <key name="%EntityId">
          <flag name="ShowInCardView" value="0"/>
          <flag name="ShowInDotNotation" value="0"/>
          <flag name="ShowInAutoComplete" value="0"/>
        </key>
        <key name="%IsRefreshable">
          <flag name="ShowInCardView" value="0"/>
          <flag name="ShowInAutoComplete" value="0"/>
          <flag name="ExcludeFromCalcComparison" value="1"/>
        </key>
        <key name="%ProviderInfo">
          <flag name="ShowInCardView" value="0"/>
          <flag name="ShowInDotNotation" value="0"/>
          <flag name="ShowInAutoComplete" value="0"/>
        </key>
        <key name="%DataProviderExternalLinkLogo">
          <flag name="ShowInCardView" value="0"/>
          <flag name="ShowInDotNotation" value="0"/>
          <flag name="ShowInAutoComplete" value="0"/>
        </key>
        <key name="%DataProviderExternalLink">
          <flag name="ShowInCardView" value="0"/>
          <flag name="ShowInDotNotation" value="0"/>
          <flag name="ShowInAutoComplete" value="0"/>
        </key>
        <key name="%DataRetrievedTime">
          <flag name="ShowInCardView" value="0"/>
          <flag name="ShowInDotNotation" value="0"/>
          <flag name="ShowInAutoComplete" value="0"/>
          <flag name="ExcludeFromCalcComparison" value="1"/>
        </key>
        <key name="%EntityDomainIdString">
          <flag name="ShowInCardView" value="0"/>
          <flag name="ShowInDotNotation" value="0"/>
          <flag name="ShowInAutoComplete" value="0"/>
        </key>
        <key name="%InfoToolTipLabelNames">
          <flag name="ShowInCardView" value="0"/>
          <flag name="ShowInDotNotation" value="0"/>
          <flag name="ShowInAutoComplete" value="0"/>
        </key>
        <key name="%InfoToolTipLabelValues">
          <flag name="ShowInCardView" value="0"/>
          <flag name="ShowInDotNotation" value="0"/>
          <flag name="ShowInAutoComplete" value="0"/>
        </key>
        <key name="%InfoToolTipLabelValuesType">
          <flag name="ShowInCardView" value="0"/>
          <flag name="ShowInDotNotation" value="0"/>
          <flag name="ShowInAutoComplete" value="0"/>
        </key>
        <key name="%DataProviderString">
          <flag name="ShowInCardView" value="0"/>
          <flag name="ShowInDotNotation" value="0"/>
          <flag name="ShowInAutoComplete" value="0"/>
        </key>
        <key name="%ClassificationId">
          <flag name="ShowInCardView" value="0"/>
          <flag name="ShowInDotNotation" value="0"/>
          <flag name="ShowInAutoComplete" value="0"/>
        </key>
        <key name="%OutdatedReason">
          <flag name="ShowInCardView" value="0"/>
          <flag name="ShowInDotNotation" value="0"/>
          <flag name="ShowInAutoComplete" value="0"/>
          <flag name="ExcludeFromCalcComparison" value="1"/>
        </key>
      </keyFlags>
    </type>
    <type name="_webimage">
      <keyFlags>
        <key name="WebImageIdentifier">
          <flag name="ShowInCardView" value="0"/>
        </key>
      </keyFlags>
    </type>
  </types>
</rvTypesInfo>
</file>

<file path=xl/richData/rdRichValueWebImage.xml><?xml version="1.0" encoding="utf-8"?>
<webImagesSrd xmlns="http://schemas.microsoft.com/office/spreadsheetml/2020/richdatawebimage" xmlns:r="http://schemas.openxmlformats.org/officeDocument/2006/relationships">
  <webImageSrd>
    <address r:id="rId1"/>
    <moreImagesAddress r:id="rId2"/>
  </webImageSrd>
  <webImageSrd>
    <address r:id="rId3"/>
    <moreImagesAddress r:id="rId4"/>
  </webImageSrd>
  <webImageSrd>
    <address r:id="rId5"/>
    <moreImagesAddress r:id="rId6"/>
  </webImageSrd>
  <webImageSrd>
    <address r:id="rId7"/>
    <moreImagesAddress r:id="rId8"/>
  </webImageSrd>
  <webImageSrd>
    <address r:id="rId9"/>
    <moreImagesAddress r:id="rId10"/>
  </webImageSrd>
  <webImageSrd>
    <address r:id="rId11"/>
    <moreImagesAddress r:id="rId12"/>
  </webImageSrd>
  <webImageSrd>
    <address r:id="rId13"/>
    <moreImagesAddress r:id="rId14"/>
  </webImageSrd>
  <webImageSrd>
    <address r:id="rId15"/>
    <moreImagesAddress r:id="rId16"/>
  </webImageSrd>
  <webImageSrd>
    <address r:id="rId17"/>
    <moreImagesAddress r:id="rId18"/>
  </webImageSrd>
  <webImageSrd>
    <address r:id="rId19"/>
    <moreImagesAddress r:id="rId20"/>
  </webImageSrd>
  <webImageSrd>
    <address r:id="rId21"/>
    <moreImagesAddress r:id="rId22"/>
  </webImageSrd>
  <webImageSrd>
    <address r:id="rId23"/>
    <moreImagesAddress r:id="rId24"/>
  </webImageSrd>
  <webImageSrd>
    <address r:id="rId25"/>
    <moreImagesAddress r:id="rId26"/>
  </webImageSrd>
</webImagesSrd>
</file>

<file path=xl/richData/rdarray.xml><?xml version="1.0" encoding="utf-8"?>
<arrayData xmlns="http://schemas.microsoft.com/office/spreadsheetml/2017/richdata2" count="42">
  <a r="2">
    <v t="r">21</v>
    <v t="r">22</v>
  </a>
  <a r="1">
    <v t="s">None</v>
  </a>
  <a r="59">
    <v t="r">41</v>
    <v t="r">42</v>
    <v t="r">43</v>
    <v t="r">20</v>
    <v t="r">44</v>
    <v t="r">45</v>
    <v t="r">46</v>
    <v t="r">6</v>
    <v t="r">47</v>
    <v t="r">48</v>
    <v t="r">49</v>
    <v t="r">50</v>
    <v t="r">51</v>
    <v t="r">52</v>
    <v t="r">53</v>
    <v t="r">54</v>
    <v t="r">55</v>
    <v t="r">56</v>
    <v t="r">57</v>
    <v t="r">58</v>
    <v t="r">59</v>
    <v t="r">60</v>
    <v t="r">61</v>
    <v t="r">62</v>
    <v t="r">63</v>
    <v t="r">64</v>
    <v t="r">65</v>
    <v t="r">66</v>
    <v t="r">67</v>
    <v t="r">68</v>
    <v t="r">69</v>
    <v t="r">70</v>
    <v t="r">71</v>
    <v t="r">72</v>
    <v t="r">73</v>
    <v t="r">74</v>
    <v t="r">75</v>
    <v t="r">76</v>
    <v t="r">77</v>
    <v t="r">78</v>
    <v t="r">79</v>
    <v t="r">80</v>
    <v t="r">81</v>
    <v t="r">82</v>
    <v t="r">83</v>
    <v t="r">84</v>
    <v t="r">85</v>
    <v t="r">86</v>
    <v t="r">87</v>
    <v t="r">88</v>
    <v t="r">89</v>
    <v t="r">90</v>
    <v t="r">91</v>
    <v t="r">92</v>
    <v t="r">93</v>
    <v t="r">94</v>
    <v t="r">95</v>
    <v t="r">96</v>
    <v t="r">97</v>
  </a>
  <a r="9">
    <v t="s">Chamorro Time Zone</v>
    <v t="s">Atlantic Time Zone</v>
    <v t="s">Eastern Time Zone</v>
    <v t="s">Central Time Zone</v>
    <v t="s">Mountain Time Zone</v>
    <v t="s">Pacific Time Zone</v>
    <v t="s">Alaska Time Zone</v>
    <v t="s">Hawaii-Aleutian Time Zone</v>
    <v t="s">Samoa Time Zone</v>
  </a>
  <a r="10">
    <v t="r">128</v>
    <v t="r">129</v>
    <v t="r">130</v>
    <v t="r">131</v>
    <v t="r">131</v>
    <v t="r">132</v>
    <v t="r">133</v>
    <v t="r">134</v>
    <v t="r">135</v>
    <v t="r">131</v>
  </a>
  <a r="8">
    <v t="r">153</v>
    <v t="r">154</v>
    <v t="r">155</v>
    <v t="r">156</v>
    <v t="r">157</v>
    <v t="r">158</v>
    <v t="r">159</v>
    <v t="r">160</v>
  </a>
  <a r="12">
    <v t="s">Norfolk Time Zone</v>
    <v t="s">Lord Howe Time Zone</v>
    <v t="s">Australian Eastern Time Zone</v>
    <v t="s">Australian Central Time Zone</v>
    <v t="s">Central Western Time Zone</v>
    <v t="s">Australian Western Time Zone</v>
    <v t="s">Casey Time Zone</v>
    <v t="s">Christmas Island Time Zone</v>
    <v t="s">Davis Time Zone</v>
    <v t="s">Cocos Islands Time Zone</v>
    <v t="s">Heard and McDonald Islands Time Zone</v>
    <v t="s">Mawson Station Time Zone</v>
  </a>
  <a r="10">
    <v t="r">190</v>
    <v t="r">191</v>
    <v t="s">Mohd Radzi Md Jidin (Minister)</v>
    <v t="r">192</v>
    <v t="r">193</v>
    <v t="r">194</v>
    <v t="s">Takiyuddin Hassan (Minister)</v>
    <v t="r">195</v>
    <v t="r">196</v>
    <v t="r">197</v>
  </a>
  <a r="1">
    <v t="s">Malaysian language</v>
  </a>
  <a r="16">
    <v t="r">215</v>
    <v t="r">176</v>
    <v t="r">216</v>
    <v t="r">217</v>
    <v t="r">218</v>
    <v t="r">219</v>
    <v t="r">220</v>
    <v t="r">221</v>
    <v t="r">222</v>
    <v t="r">223</v>
    <v t="r">224</v>
    <v t="r">225</v>
    <v t="r">226</v>
    <v t="r">227</v>
    <v t="r">228</v>
    <v t="r">229</v>
  </a>
  <a r="1">
    <v t="s">Malaysia Time Zone</v>
  </a>
  <a r="1">
    <v t="r">257</v>
  </a>
  <a r="2">
    <v t="s">Chinese</v>
    <v t="s">English</v>
  </a>
  <a r="2">
    <v t="s">Hong Kong Time Zone</v>
    <v t="s">China Standard Time</v>
  </a>
  <a r="3">
    <v t="r">294</v>
    <v t="r">295</v>
    <v t="r">296</v>
  </a>
  <a r="1">
    <v t="s">Indonesian</v>
  </a>
  <a r="41">
    <v t="s">Sumatra</v>
    <v t="s">Java</v>
    <v t="r">279</v>
    <v t="r">314</v>
    <v t="r">315</v>
    <v t="s">Sulawesi</v>
    <v t="r">316</v>
    <v t="r">317</v>
    <v t="r">318</v>
    <v t="r">319</v>
    <v t="r">320</v>
    <v t="r">321</v>
    <v t="r">322</v>
    <v t="r">323</v>
    <v t="r">324</v>
    <v t="r">293</v>
    <v t="r">325</v>
    <v t="r">326</v>
    <v t="r">327</v>
    <v t="r">328</v>
    <v t="r">329</v>
    <v t="r">330</v>
    <v t="r">331</v>
    <v t="s">Maluku Islands</v>
    <v t="r">332</v>
    <v t="s">West Papua</v>
    <v t="r">333</v>
    <v t="r">334</v>
    <v t="r">335</v>
    <v t="r">336</v>
    <v t="r">337</v>
    <v t="r">338</v>
    <v t="r">339</v>
    <v t="r">340</v>
    <v t="r">341</v>
    <v t="r">342</v>
    <v t="r">343</v>
    <v t="r">344</v>
    <v t="s">Lesser Sunda Islands</v>
    <v t="r">345</v>
    <v t="r">346</v>
  </a>
  <a r="3">
    <v t="s">Indonesia Eastern Time Zone</v>
    <v t="s">Indonesia Central Time Zone</v>
    <v t="s">Indonesia Western Time Zone</v>
  </a>
  <a r="4">
    <v t="r">376</v>
    <v t="r">377</v>
    <v t="r">378</v>
    <v t="r">379</v>
  </a>
  <a r="1">
    <v t="s">English</v>
  </a>
  <a r="150">
    <v t="r">396</v>
    <v t="r">397</v>
    <v t="r">398</v>
    <v t="r">399</v>
    <v t="r">400</v>
    <v t="r">401</v>
    <v t="r">402</v>
    <v t="r">403</v>
    <v t="r">404</v>
    <v t="r">405</v>
    <v t="r">406</v>
    <v t="r">407</v>
    <v t="r">408</v>
    <v t="r">409</v>
    <v t="r">410</v>
    <v t="r">411</v>
    <v t="r">412</v>
    <v t="r">413</v>
    <v t="r">414</v>
    <v t="r">415</v>
    <v t="r">416</v>
    <v t="r">417</v>
    <v t="r">418</v>
    <v t="r">419</v>
    <v t="r">420</v>
    <v t="r">421</v>
    <v t="r">422</v>
    <v t="r">423</v>
    <v t="r">424</v>
    <v t="r">425</v>
    <v t="r">426</v>
    <v t="r">427</v>
    <v t="r">428</v>
    <v t="r">429</v>
    <v t="r">430</v>
    <v t="r">431</v>
    <v t="r">432</v>
    <v t="r">433</v>
    <v t="r">434</v>
    <v t="r">435</v>
    <v t="r">436</v>
    <v t="r">437</v>
    <v t="r">438</v>
    <v t="r">439</v>
    <v t="r">440</v>
    <v t="r">441</v>
    <v t="r">442</v>
    <v t="r">443</v>
    <v t="r">444</v>
    <v t="r">445</v>
    <v t="r">446</v>
    <v t="r">447</v>
    <v t="r">448</v>
    <v t="r">449</v>
    <v t="r">450</v>
    <v t="r">451</v>
    <v t="r">452</v>
    <v t="r">453</v>
    <v t="r">454</v>
    <v t="r">455</v>
    <v t="r">456</v>
    <v t="r">457</v>
    <v t="r">458</v>
    <v t="r">459</v>
    <v t="r">460</v>
    <v t="r">461</v>
    <v t="r">462</v>
    <v t="r">463</v>
    <v t="r">464</v>
    <v t="r">465</v>
    <v t="r">466</v>
    <v t="r">467</v>
    <v t="r">468</v>
    <v t="r">469</v>
    <v t="r">470</v>
    <v t="r">471</v>
    <v t="r">472</v>
    <v t="r">473</v>
    <v t="r">474</v>
    <v t="r">475</v>
    <v t="r">476</v>
    <v t="r">477</v>
    <v t="r">478</v>
    <v t="r">479</v>
    <v t="r">480</v>
    <v t="r">481</v>
    <v t="r">482</v>
    <v t="r">483</v>
    <v t="r">484</v>
    <v t="r">485</v>
    <v t="r">486</v>
    <v t="r">487</v>
    <v t="r">488</v>
    <v t="r">489</v>
    <v t="r">490</v>
    <v t="r">491</v>
    <v t="r">492</v>
    <v t="r">493</v>
    <v t="r">494</v>
    <v t="r">495</v>
    <v t="r">496</v>
    <v t="r">497</v>
    <v t="r">498</v>
    <v t="r">499</v>
    <v t="r">500</v>
    <v t="r">501</v>
    <v t="r">502</v>
    <v t="r">503</v>
    <v t="r">504</v>
    <v t="r">505</v>
    <v t="r">506</v>
    <v t="r">507</v>
    <v t="r">508</v>
    <v t="r">509</v>
    <v t="r">510</v>
    <v t="s">Metropolitan Borough of Wirral</v>
    <v t="r">511</v>
    <v t="s">Metropolitan Borough of Knowsley</v>
    <v t="r">512</v>
    <v t="r">513</v>
    <v t="r">514</v>
    <v t="r">515</v>
    <v t="r">516</v>
    <v t="r">517</v>
    <v t="r">518</v>
    <v t="r">519</v>
    <v t="r">520</v>
    <v t="r">521</v>
    <v t="r">522</v>
    <v t="r">523</v>
    <v t="r">524</v>
    <v t="r">525</v>
    <v t="r">526</v>
    <v t="r">527</v>
    <v t="r">528</v>
    <v t="r">529</v>
    <v t="r">530</v>
    <v t="r">531</v>
    <v t="r">532</v>
    <v t="r">533</v>
    <v t="r">534</v>
    <v t="r">535</v>
    <v t="r">536</v>
    <v t="r">537</v>
    <v t="r">538</v>
    <v t="s">Outer Hebrides</v>
    <v t="r">539</v>
    <v t="r">540</v>
    <v t="r">541</v>
    <v t="r">542</v>
  </a>
  <a r="3">
    <v t="s">British Summer Time</v>
    <v t="s">Greenwich Mean Time Zone</v>
    <v t="s">Western European Time Zone</v>
  </a>
  <a r="2">
    <v t="r">572</v>
    <v t="r">573</v>
  </a>
  <a r="3">
    <v t="s">English</v>
    <v t="s">Filipino language</v>
    <v t="s">Philippine English</v>
  </a>
  <a r="97">
    <v t="r">591</v>
    <v t="r">592</v>
    <v t="r">593</v>
    <v t="r">594</v>
    <v t="r">595</v>
    <v t="r">596</v>
    <v t="r">597</v>
    <v t="r">598</v>
    <v t="r">599</v>
    <v t="r">600</v>
    <v t="r">601</v>
    <v t="r">602</v>
    <v t="s">Ilocos Region</v>
    <v t="r">603</v>
    <v t="r">604</v>
    <v t="r">605</v>
    <v t="s">Bicol Region</v>
    <v t="r">606</v>
    <v t="r">607</v>
    <v t="r">608</v>
    <v t="s">Western Visayas</v>
    <v t="r">609</v>
    <v t="r">610</v>
    <v t="r">611</v>
    <v t="r">612</v>
    <v t="r">613</v>
    <v t="r">614</v>
    <v t="r">615</v>
    <v t="r">616</v>
    <v t="r">617</v>
    <v t="r">618</v>
    <v t="r">619</v>
    <v t="r">620</v>
    <v t="r">621</v>
    <v t="r">622</v>
    <v t="r">623</v>
    <v t="r">624</v>
    <v t="r">625</v>
    <v t="r">626</v>
    <v t="r">627</v>
    <v t="r">628</v>
    <v t="r">629</v>
    <v t="r">630</v>
    <v t="r">631</v>
    <v t="r">632</v>
    <v t="r">633</v>
    <v t="r">634</v>
    <v t="r">635</v>
    <v t="r">636</v>
    <v t="r">637</v>
    <v t="r">638</v>
    <v t="r">639</v>
    <v t="r">640</v>
    <v t="r">641</v>
    <v t="r">642</v>
    <v t="r">643</v>
    <v t="r">644</v>
    <v t="r">645</v>
    <v t="r">646</v>
    <v t="r">647</v>
    <v t="r">648</v>
    <v t="r">649</v>
    <v t="r">650</v>
    <v t="r">651</v>
    <v t="r">652</v>
    <v t="r">653</v>
    <v t="r">654</v>
    <v t="r">655</v>
    <v t="r">656</v>
    <v t="r">657</v>
    <v t="r">658</v>
    <v t="r">659</v>
    <v t="r">660</v>
    <v t="r">661</v>
    <v t="r">662</v>
    <v t="r">663</v>
    <v t="r">664</v>
    <v t="r">665</v>
    <v t="r">666</v>
    <v t="r">667</v>
    <v t="r">668</v>
    <v t="r">669</v>
    <v t="s">Central Luzon</v>
    <v t="s">Zamboanga Peninsula</v>
    <v t="s">Autonomous Region in Muslim Mindanao</v>
    <v t="r">670</v>
    <v t="s">Cagayan Valley</v>
    <v t="s">Davao Region</v>
    <v t="s">Eastern Visayas</v>
    <v t="s">Central Visayas</v>
    <v t="s">Mimaropa</v>
    <v t="s">Caraga</v>
    <v t="r">671</v>
    <v t="s">Soccsksargen</v>
    <v t="s">Calabarzon</v>
    <v t="s">Cordillera Administrative Region</v>
    <v t="s">Northern Mindanao</v>
  </a>
  <a r="1">
    <v t="s">Philippine Time Zone</v>
  </a>
  <a r="10">
    <v t="r">700</v>
    <v t="r">701</v>
    <v t="r">702</v>
    <v t="r">703</v>
    <v t="s">Anutin Charnvirakul (Minister)</v>
    <v t="r">704</v>
    <v t="r">705</v>
    <v t="s">Thonmanat Phromphan (Minister)</v>
    <v t="s">Prapat Phothasuthan (Minister)</v>
    <v t="s">Chalermchai Srichang (Minister)</v>
  </a>
  <a r="1">
    <v t="s">Thai</v>
  </a>
  <a r="78">
    <v t="r">687</v>
    <v t="r">724</v>
    <v t="r">725</v>
    <v t="r">726</v>
    <v t="r">727</v>
    <v t="r">728</v>
    <v t="r">729</v>
    <v t="r">730</v>
    <v t="r">731</v>
    <v t="r">732</v>
    <v t="r">733</v>
    <v t="r">734</v>
    <v t="r">735</v>
    <v t="r">736</v>
    <v t="r">737</v>
    <v t="r">738</v>
    <v t="r">739</v>
    <v t="r">740</v>
    <v t="r">741</v>
    <v t="r">742</v>
    <v t="r">743</v>
    <v t="r">744</v>
    <v t="r">745</v>
    <v t="r">746</v>
    <v t="r">747</v>
    <v t="r">748</v>
    <v t="r">749</v>
    <v t="r">750</v>
    <v t="r">751</v>
    <v t="r">752</v>
    <v t="r">753</v>
    <v t="r">754</v>
    <v t="r">755</v>
    <v t="r">756</v>
    <v t="r">757</v>
    <v t="r">758</v>
    <v t="r">759</v>
    <v t="r">760</v>
    <v t="r">761</v>
    <v t="r">762</v>
    <v t="r">763</v>
    <v t="r">764</v>
    <v t="r">765</v>
    <v t="r">766</v>
    <v t="r">767</v>
    <v t="r">768</v>
    <v t="r">769</v>
    <v t="r">770</v>
    <v t="r">771</v>
    <v t="r">772</v>
    <v t="r">773</v>
    <v t="r">774</v>
    <v t="r">775</v>
    <v t="r">776</v>
    <v t="r">777</v>
    <v t="r">778</v>
    <v t="r">779</v>
    <v t="r">780</v>
    <v t="r">781</v>
    <v t="r">782</v>
    <v t="r">783</v>
    <v t="r">784</v>
    <v t="r">785</v>
    <v t="r">786</v>
    <v t="r">787</v>
    <v t="r">788</v>
    <v t="r">789</v>
    <v t="r">790</v>
    <v t="r">791</v>
    <v t="r">792</v>
    <v t="r">793</v>
    <v t="r">794</v>
    <v t="r">795</v>
    <v t="r">796</v>
    <v t="r">797</v>
    <v t="r">798</v>
    <v t="r">799</v>
    <v t="r">800</v>
  </a>
  <a r="1">
    <v t="s">Thailand Time Zone</v>
  </a>
  <a r="2">
    <v t="r">829</v>
    <v t="r">830</v>
  </a>
  <a r="6">
    <v t="s">Malay</v>
    <v t="s">English</v>
    <v t="s">Tamil</v>
    <v t="s">Standard Chinese</v>
    <v t="s">Singapore English</v>
    <v t="s">Singaporean Mandarin</v>
  </a>
  <a r="5">
    <v t="s">North East Community Development Council</v>
    <v t="s">South East Community Development Council</v>
    <v t="s">Central Singapore Community Development Council</v>
    <v t="s">South West Community Development Council</v>
    <v t="s">North West Community Development Council</v>
  </a>
  <a r="1">
    <v t="s">Singapore Standard Time</v>
  </a>
  <a r="2">
    <v t="r">868</v>
    <v t="r">869</v>
  </a>
  <a r="1">
    <v t="s">Standard Chinese</v>
  </a>
  <a r="34">
    <v t="r">885</v>
    <v t="r">239</v>
    <v t="r">886</v>
    <v t="r">853</v>
    <v t="r">887</v>
    <v t="r">867</v>
    <v t="r">888</v>
    <v t="r">889</v>
    <v t="r">890</v>
    <v t="r">891</v>
    <v t="r">892</v>
    <v t="r">893</v>
    <v t="r">894</v>
    <v t="r">895</v>
    <v t="r">896</v>
    <v t="r">897</v>
    <v t="r">898</v>
    <v t="r">899</v>
    <v t="r">900</v>
    <v t="r">901</v>
    <v t="r">902</v>
    <v t="r">903</v>
    <v t="r">904</v>
    <v t="r">905</v>
    <v t="r">906</v>
    <v t="r">907</v>
    <v t="r">908</v>
    <v t="r">909</v>
    <v t="r">910</v>
    <v t="s">Taiwan Province, People's Republic of China</v>
    <v t="r">911</v>
    <v t="r">912</v>
    <v t="r">913</v>
    <v t="r">914</v>
  </a>
  <a r="1">
    <v t="s">China Standard Time</v>
  </a>
  <a r="1">
    <v t="r">924</v>
  </a>
  <a r="2">
    <v t="r">959</v>
    <v t="r">960</v>
  </a>
  <a r="47">
    <v t="r">977</v>
    <v t="r">945</v>
    <v t="r">978</v>
    <v t="r">979</v>
    <v t="r">980</v>
    <v t="r">981</v>
    <v t="r">982</v>
    <v t="r">983</v>
    <v t="r">984</v>
    <v t="r">985</v>
    <v t="r">986</v>
    <v t="r">987</v>
    <v t="r">988</v>
    <v t="r">989</v>
    <v t="r">990</v>
    <v t="r">991</v>
    <v t="r">992</v>
    <v t="r">993</v>
    <v t="r">994</v>
    <v t="r">995</v>
    <v t="r">996</v>
    <v t="r">997</v>
    <v t="r">998</v>
    <v t="r">999</v>
    <v t="r">1000</v>
    <v t="r">1001</v>
    <v t="r">1002</v>
    <v t="r">1003</v>
    <v t="r">1004</v>
    <v t="r">1005</v>
    <v t="r">1006</v>
    <v t="r">1007</v>
    <v t="r">1008</v>
    <v t="r">1009</v>
    <v t="r">1010</v>
    <v t="r">1011</v>
    <v t="r">1012</v>
    <v t="r">1013</v>
    <v t="r">1014</v>
    <v t="r">1015</v>
    <v t="r">1016</v>
    <v t="r">1017</v>
    <v t="r">1018</v>
    <v t="r">1019</v>
    <v t="r">1020</v>
    <v t="r">1021</v>
    <v t="r">1022</v>
  </a>
  <a r="1">
    <v t="s">Japan Time Zone</v>
  </a>
</arrayData>
</file>

<file path=xl/richData/rdrichvalue.xml><?xml version="1.0" encoding="utf-8"?>
<rvData xmlns="http://schemas.microsoft.com/office/spreadsheetml/2017/richdata" count="1384">
  <rv s="0">
    <v>536870912</v>
    <v>United States</v>
    <v>5232ed96-85b1-2edb-12c6-63e6c597a1de</v>
    <v>en-GB</v>
    <v>Map</v>
  </rv>
  <rv s="1">
    <fb>0.44369067999501505</fb>
    <v>31</v>
  </rv>
  <rv s="1">
    <fb>9833517</fb>
    <v>32</v>
  </rv>
  <rv s="1">
    <fb>1359000</fb>
    <v>32</v>
  </rv>
  <rv s="1">
    <fb>11.6</fb>
    <v>33</v>
  </rv>
  <rv s="1">
    <fb>1</fb>
    <v>34</v>
  </rv>
  <rv s="0">
    <v>536870912</v>
    <v>Washington, D.C.</v>
    <v>216726d1-8987-06d3-5eff-823da05c3d3c</v>
    <v>en-GB</v>
    <v>Map</v>
  </rv>
  <rv s="1">
    <fb>5006302.0769999996</fb>
    <v>32</v>
  </rv>
  <rv s="1">
    <fb>117.244195476228</fb>
    <v>35</v>
  </rv>
  <rv s="1">
    <fb>1.8122100752601501E-2</fb>
    <v>31</v>
  </rv>
  <rv s="1">
    <fb>12993.961824772699</fb>
    <v>32</v>
  </rv>
  <rv s="1">
    <fb>1.7295</fb>
    <v>33</v>
  </rv>
  <rv s="1">
    <fb>0.339297856663409</fb>
    <v>31</v>
  </rv>
  <rv s="1">
    <fb>82.427828245269197</fb>
    <v>36</v>
  </rv>
  <rv s="1">
    <fb>0.71</fb>
    <v>37</v>
  </rv>
  <rv s="1">
    <fb>22675000000000</fb>
    <v>38</v>
  </rv>
  <rv s="1">
    <fb>1.0182144</fb>
    <v>31</v>
  </rv>
  <rv s="1">
    <fb>0.88167390000000001</fb>
    <v>31</v>
  </rv>
  <rv s="2">
    <v>0</v>
    <v>29</v>
    <v>39</v>
    <v>0</v>
    <v>Image of United States</v>
  </rv>
  <rv s="1">
    <fb>5.6</fb>
    <v>36</v>
  </rv>
  <rv s="0">
    <v>536870912</v>
    <v>New York City</v>
    <v>60d5dc2b-c915-460b-b722-c9e3485499ca</v>
    <v>en-GB</v>
    <v>Map</v>
  </rv>
  <rv s="0">
    <v>805306368</v>
    <v>Joe Biden (President)</v>
    <v>cad484f9-be75-7a78-12dd-16233f823cd7</v>
    <v>en-GB</v>
    <v>Generic</v>
  </rv>
  <rv s="0">
    <v>805306368</v>
    <v>Kamala Harris (Vice President)</v>
    <v>ef5cf66f-32b7-7271-286a-8e8313eda5c5</v>
    <v>en-GB</v>
    <v>Generic</v>
  </rv>
  <rv s="3">
    <v>0</v>
  </rv>
  <rv s="4">
    <v>https://www.bing.com/search?q=united+states&amp;form=skydnc</v>
    <v>Learn more on Bing</v>
  </rv>
  <rv s="1">
    <fb>78.539024390243895</fb>
    <v>36</v>
  </rv>
  <rv s="1">
    <fb>30436313050000</fb>
    <v>38</v>
  </rv>
  <rv s="1">
    <fb>19</fb>
    <v>36</v>
  </rv>
  <rv s="1">
    <fb>7.25</fb>
    <v>37</v>
  </rv>
  <rv s="3">
    <v>1</v>
  </rv>
  <rv s="1">
    <fb>0.1108387988</fb>
    <v>31</v>
  </rv>
  <rv s="1">
    <fb>2.6120000000000001</fb>
    <v>33</v>
  </rv>
  <rv s="1">
    <fb>328239523</fb>
    <v>32</v>
  </rv>
  <rv s="1">
    <fb>0.22600000000000001</fb>
    <v>31</v>
  </rv>
  <rv s="1">
    <fb>0.30499999999999999</fb>
    <v>31</v>
  </rv>
  <rv s="1">
    <fb>0.46799999999999997</fb>
    <v>31</v>
  </rv>
  <rv s="1">
    <fb>1.7000000000000001E-2</fb>
    <v>31</v>
  </rv>
  <rv s="1">
    <fb>5.0999999999999997E-2</fb>
    <v>31</v>
  </rv>
  <rv s="1">
    <fb>0.10300000000000001</fb>
    <v>31</v>
  </rv>
  <rv s="1">
    <fb>0.153</fb>
    <v>31</v>
  </rv>
  <rv s="1">
    <fb>0.62048999786377002</fb>
    <v>31</v>
  </rv>
  <rv s="0">
    <v>536870912</v>
    <v>New York</v>
    <v>caeb7b9a-f5d7-4686-8fb5-cf7628296b13</v>
    <v>en-GB</v>
    <v>Map</v>
  </rv>
  <rv s="0">
    <v>536870912</v>
    <v>Washington</v>
    <v>e8a0d824-4c94-2f90-256a-a6adfa28f789</v>
    <v>en-GB</v>
    <v>Map</v>
  </rv>
  <rv s="0">
    <v>536870912</v>
    <v>Washington</v>
    <v>982ad551-fd5d-45df-bd70-bf704dd576e4</v>
    <v>en-GB</v>
    <v>Map</v>
  </rv>
  <rv s="0">
    <v>536870912</v>
    <v>New Jersey</v>
    <v>05277898-b62b-4878-8632-09d29756a2ff</v>
    <v>en-GB</v>
    <v>Map</v>
  </rv>
  <rv s="0">
    <v>536870912</v>
    <v>South Carolina</v>
    <v>810015e8-b10b-4232-9e2c-de87a67bd26e</v>
    <v>en-GB</v>
    <v>Map</v>
  </rv>
  <rv s="0">
    <v>536870912</v>
    <v>Kentucky</v>
    <v>108dfd18-4626-481a-8dfa-18f64e6eac84</v>
    <v>en-GB</v>
    <v>Map</v>
  </rv>
  <rv s="0">
    <v>536870912</v>
    <v>California</v>
    <v>3009d91d-d582-4c34-85ba-772ba09e5be1</v>
    <v>en-GB</v>
    <v>Map</v>
  </rv>
  <rv s="0">
    <v>536870912</v>
    <v>Missouri</v>
    <v>6185f8cb-44e1-4da6-9bf0-b75286aeb591</v>
    <v>en-GB</v>
    <v>Map</v>
  </rv>
  <rv s="0">
    <v>536870912</v>
    <v>Hawaii</v>
    <v>b6f01eaf-aecf-44f6-b64d-1f6e982365c3</v>
    <v>en-GB</v>
    <v>Map</v>
  </rv>
  <rv s="0">
    <v>536870912</v>
    <v>Nevada</v>
    <v>c2157d7e-617e-4517-80f8-1b08113afc14</v>
    <v>en-GB</v>
    <v>Map</v>
  </rv>
  <rv s="0">
    <v>536870912</v>
    <v>Pennsylvania</v>
    <v>6304580e-c803-4266-818a-971619176547</v>
    <v>en-GB</v>
    <v>Map</v>
  </rv>
  <rv s="0">
    <v>536870912</v>
    <v>Illinois</v>
    <v>4131acb8-628a-4241-8920-ca79eab9dade</v>
    <v>en-GB</v>
    <v>Map</v>
  </rv>
  <rv s="0">
    <v>536870912</v>
    <v>Louisiana</v>
    <v>0ca1e87f-e2f6-43fb-8deb-d22bd09a9cae</v>
    <v>en-GB</v>
    <v>Map</v>
  </rv>
  <rv s="0">
    <v>536870912</v>
    <v>Texas</v>
    <v>00a23ccd-3344-461c-8b9f-c2bb55be5815</v>
    <v>en-GB</v>
    <v>Map</v>
  </rv>
  <rv s="0">
    <v>536870912</v>
    <v>Michigan</v>
    <v>162411c2-b757-495d-aa81-93942fae2f7e</v>
    <v>en-GB</v>
    <v>Map</v>
  </rv>
  <rv s="0">
    <v>536870912</v>
    <v>Alaska</v>
    <v>31c4c7a1-54e7-4306-ac9b-f1b02e85bda5</v>
    <v>en-GB</v>
    <v>Map</v>
  </rv>
  <rv s="0">
    <v>536870912</v>
    <v>Ohio</v>
    <v>6f3df7da-1ef6-48e3-b2b3-b5b5fce3e846</v>
    <v>en-GB</v>
    <v>Map</v>
  </rv>
  <rv s="0">
    <v>536870912</v>
    <v>West Virginia</v>
    <v>8a47255a-fae3-4faa-aa32-c6f384cb6c1d</v>
    <v>en-GB</v>
    <v>Map</v>
  </rv>
  <rv s="0">
    <v>536870912</v>
    <v>Wyoming</v>
    <v>bff03ad6-2b7f-400b-a76e-eb9fc4a93961</v>
    <v>en-GB</v>
    <v>Map</v>
  </rv>
  <rv s="0">
    <v>536870912</v>
    <v>Virginia</v>
    <v>7eee9976-e8a7-472c-ada1-007208abd678</v>
    <v>en-GB</v>
    <v>Map</v>
  </rv>
  <rv s="0">
    <v>536870912</v>
    <v>Connecticut</v>
    <v>b3ca6523-435e-4a3b-8f78-1ad900a52cf8</v>
    <v>en-GB</v>
    <v>Map</v>
  </rv>
  <rv s="0">
    <v>536870912</v>
    <v>Iowa</v>
    <v>77850824-b07a-487a-af58-37f9949afc27</v>
    <v>en-GB</v>
    <v>Map</v>
  </rv>
  <rv s="0">
    <v>536870912</v>
    <v>North Dakota</v>
    <v>77fbc744-3efe-4aa9-9e8e-f8034f06b941</v>
    <v>en-GB</v>
    <v>Map</v>
  </rv>
  <rv s="0">
    <v>536870912</v>
    <v>Oregon</v>
    <v>cacd36fd-7c62-43e2-a632-64a2a1811933</v>
    <v>en-GB</v>
    <v>Map</v>
  </rv>
  <rv s="0">
    <v>536870912</v>
    <v>Massachusetts</v>
    <v>845219d5-3650-4199-b926-964ca27c863c</v>
    <v>en-GB</v>
    <v>Map</v>
  </rv>
  <rv s="0">
    <v>536870912</v>
    <v>Maryland</v>
    <v>4c472f4d-06a8-4d90-8bb8-da4d168c73fe</v>
    <v>en-GB</v>
    <v>Map</v>
  </rv>
  <rv s="0">
    <v>536870912</v>
    <v>Oklahoma</v>
    <v>cbcf556f-952a-4665-bb95-0500b27f9976</v>
    <v>en-GB</v>
    <v>Map</v>
  </rv>
  <rv s="0">
    <v>536870912</v>
    <v>North Carolina</v>
    <v>9e2bf053-dd80-4646-8f26-65075e7085c0</v>
    <v>en-GB</v>
    <v>Map</v>
  </rv>
  <rv s="0">
    <v>536870912</v>
    <v>Montana</v>
    <v>447d6cd5-53f6-4c8f-bf6c-9ff228415c3b</v>
    <v>en-GB</v>
    <v>Map</v>
  </rv>
  <rv s="0">
    <v>536870912</v>
    <v>Arizona</v>
    <v>bf973f46-5962-4997-a7ba-a05f1aa2a9f9</v>
    <v>en-GB</v>
    <v>Map</v>
  </rv>
  <rv s="0">
    <v>536870912</v>
    <v>Alabama</v>
    <v>376f8b06-52f6-4e72-a31d-311a3563e645</v>
    <v>en-GB</v>
    <v>Map</v>
  </rv>
  <rv s="0">
    <v>536870912</v>
    <v>Wisconsin</v>
    <v>cb4d2853-06f4-4467-8e7c-4e31cbb35cb2</v>
    <v>en-GB</v>
    <v>Map</v>
  </rv>
  <rv s="0">
    <v>536870912</v>
    <v>Arkansas</v>
    <v>b939db72-08f2-4ea6-a16a-a53bf32e6612</v>
    <v>en-GB</v>
    <v>Map</v>
  </rv>
  <rv s="0">
    <v>536870912</v>
    <v>Utah</v>
    <v>c6705e44-d27f-4240-95a2-54e802e3b524</v>
    <v>en-GB</v>
    <v>Map</v>
  </rv>
  <rv s="0">
    <v>536870912</v>
    <v>New Mexico</v>
    <v>a16d3636-4349-41c7-a77e-89e34b26a8ad</v>
    <v>en-GB</v>
    <v>Map</v>
  </rv>
  <rv s="0">
    <v>536870912</v>
    <v>New Hampshire</v>
    <v>9ca71997-cc97-46eb-8911-fac32f80b0b1</v>
    <v>en-GB</v>
    <v>Map</v>
  </rv>
  <rv s="0">
    <v>536870912</v>
    <v>Delaware</v>
    <v>8ad617cc-3d7a-4b3c-a787-098de959ccc4</v>
    <v>en-GB</v>
    <v>Map</v>
  </rv>
  <rv s="0">
    <v>536870912</v>
    <v>South Dakota</v>
    <v>9cee0b65-d357-479e-a066-31c634648f47</v>
    <v>en-GB</v>
    <v>Map</v>
  </rv>
  <rv s="0">
    <v>536870912</v>
    <v>Nebraska</v>
    <v>3e64ff5d-6b40-4dbe-91b1-0e554e892496</v>
    <v>en-GB</v>
    <v>Map</v>
  </rv>
  <rv s="0">
    <v>536870912</v>
    <v>Kansas</v>
    <v>6e527b71-bd3e-4bc1-b1c0-59d288b4fd5e</v>
    <v>en-GB</v>
    <v>Map</v>
  </rv>
  <rv s="0">
    <v>536870912</v>
    <v>Maine</v>
    <v>d62dd683-9cf9-4db9-a497-d810d529592b</v>
    <v>en-GB</v>
    <v>Map</v>
  </rv>
  <rv s="0">
    <v>536870912</v>
    <v>Indiana</v>
    <v>109f7e5a-efbb-4953-b4b8-cb812ce1ff5d</v>
    <v>en-GB</v>
    <v>Map</v>
  </rv>
  <rv s="0">
    <v>536870912</v>
    <v>Minnesota</v>
    <v>77f97f6f-7e93-46e5-b486-6198effe8dea</v>
    <v>en-GB</v>
    <v>Map</v>
  </rv>
  <rv s="0">
    <v>536870912</v>
    <v>Georgia</v>
    <v>84604bc7-2c47-4f8d-8ea5-b6ac8c018a20</v>
    <v>en-GB</v>
    <v>Map</v>
  </rv>
  <rv s="0">
    <v>536870912</v>
    <v>Vermont</v>
    <v>221864cc-447e-4e78-847c-59e485d73bff</v>
    <v>en-GB</v>
    <v>Map</v>
  </rv>
  <rv s="0">
    <v>536870912</v>
    <v>Mississippi</v>
    <v>6af619ca-217d-49c0-9a86-153fc7fbcd78</v>
    <v>en-GB</v>
    <v>Map</v>
  </rv>
  <rv s="0">
    <v>536870912</v>
    <v>Florida</v>
    <v>5fece3f4-e8e8-4159-843e-f725a930ad50</v>
    <v>en-GB</v>
    <v>Map</v>
  </rv>
  <rv s="0">
    <v>536870912</v>
    <v>Rhode Island</v>
    <v>65a08f52-b469-4f7c-8353-9b3c0b2a5752</v>
    <v>en-GB</v>
    <v>Map</v>
  </rv>
  <rv s="0">
    <v>536870912</v>
    <v>Idaho</v>
    <v>ecd30387-20fa-4523-9045-e2860154b5e9</v>
    <v>en-GB</v>
    <v>Map</v>
  </rv>
  <rv s="0">
    <v>536870912</v>
    <v>Colorado</v>
    <v>a070c5c2-b22d-41d8-b869-f20e583c4f80</v>
    <v>en-GB</v>
    <v>Map</v>
  </rv>
  <rv s="0">
    <v>536870912</v>
    <v>Tennessee</v>
    <v>9bbc9c72-1bf1-4ef6-b66d-a6cdef70f4f3</v>
    <v>en-GB</v>
    <v>Map</v>
  </rv>
  <rv s="0">
    <v>536870912</v>
    <v>Puerto Rico</v>
    <v>72752f4d-11d3-5470-b64e-b9e012b0520f</v>
    <v>en-GB</v>
    <v>Map</v>
  </rv>
  <rv s="0">
    <v>536870912</v>
    <v>United States Virgin Islands</v>
    <v>38bd827b-bc00-140e-85be-46a96078429c</v>
    <v>en-GB</v>
    <v>Map</v>
  </rv>
  <rv s="0">
    <v>536870912</v>
    <v>American Samoa</v>
    <v>12d04d63-b9b5-855b-0821-b32474a729a4</v>
    <v>en-GB</v>
    <v>Map</v>
  </rv>
  <rv s="0">
    <v>536870912</v>
    <v>Guam</v>
    <v>f842c067-b461-3084-6a3b-6c6c7431fc9a</v>
    <v>en-GB</v>
    <v>Map</v>
  </rv>
  <rv s="0">
    <v>536870912</v>
    <v>Northern Mariana Islands</v>
    <v>f4475436-adda-9ff0-b5fe-6c3dff0e26be</v>
    <v>en-GB</v>
    <v>Map</v>
  </rv>
  <rv s="0">
    <v>536870912</v>
    <v>United States Minor Outlying Islands</v>
    <v>0a148d8f-0026-1089-40fb-cf776177ba31</v>
    <v>en-GB</v>
    <v>Map</v>
  </rv>
  <rv s="3">
    <v>2</v>
  </rv>
  <rv s="1">
    <fb>9.5866513904898809E-2</fb>
    <v>31</v>
  </rv>
  <rv s="3">
    <v>3</v>
  </rv>
  <rv s="1">
    <fb>0.36599999999999999</fb>
    <v>31</v>
  </rv>
  <rv s="1">
    <fb>0.14699999999999999</fb>
    <v>40</v>
  </rv>
  <rv s="1">
    <fb>270663028</fb>
    <v>32</v>
  </rv>
  <rv s="5">
    <v>#VALUE!</v>
    <v>en-GB</v>
    <v>5232ed96-85b1-2edb-12c6-63e6c597a1de</v>
    <v>536870912</v>
    <v>1</v>
    <v>23</v>
    <v>24</v>
    <v>United States</v>
    <v>27</v>
    <v>28</v>
    <v>Map</v>
    <v>29</v>
    <v>30</v>
    <v>US</v>
    <v>1</v>
    <v>2</v>
    <v>3</v>
    <v>4</v>
    <v>5</v>
    <v>6</v>
    <v>7</v>
    <v>8</v>
    <v>9</v>
    <v>USD</v>
    <v>The United States of America, commonly known as the United States or America, is a country primarily located in North America. It consists of 50 states, a federal district, five major unincorporated territories, 326 Indian reservations, and some minor possessions. At 3.8 million square miles, it is the world's third- or fourth-largest country by total area. With a population of more than 331 million people, it is the third most populous country in the world. The national capital is Washington, D.C., and the most populous city is New York City.</v>
    <v>10</v>
    <v>11</v>
    <v>12</v>
    <v>13</v>
    <v>14</v>
    <v>15</v>
    <v>16</v>
    <v>17</v>
    <v>18</v>
    <v>19</v>
    <v>20</v>
    <v>23</v>
    <v>24</v>
    <v>25</v>
    <v>26</v>
    <v>27</v>
    <v>28</v>
    <v>United States</v>
    <v>The Star-Spangled Banner</v>
    <v>29</v>
    <v>United States of America</v>
    <v>30</v>
    <v>31</v>
    <v>32</v>
    <v>33</v>
    <v>34</v>
    <v>35</v>
    <v>36</v>
    <v>37</v>
    <v>38</v>
    <v>39</v>
    <v>40</v>
    <v>98</v>
    <v>99</v>
    <v>100</v>
    <v>101</v>
    <v>102</v>
    <v>United States</v>
    <v>103</v>
    <v>mdp/vdpid/244</v>
  </rv>
  <rv s="6">
    <v>en-US</v>
    <v>avyspr</v>
    <v>268435456</v>
    <v>1</v>
    <v>Powered by Refinitiv</v>
    <v>41</v>
    <v>USD/SGD</v>
    <v>42</v>
    <v>43</v>
    <v>Finance</v>
    <v>44</v>
    <v>1.4027000000000001</v>
    <v>1.3154999999999999</v>
    <v>0</v>
    <v>0</v>
    <v>SGD</v>
    <v>USD</v>
    <v>1.3242</v>
    <v>Currency Pair</v>
    <v>44356.144826388889</v>
    <v>1.3231999999999999</v>
    <v>US Dollar/Singapore Dollar FX Spot Rate</v>
    <v>1.3234999999999999</v>
    <v>1.3233999999999999</v>
    <v>1.3233999999999999</v>
    <v>USDSGD</v>
    <v>USD/SGD</v>
  </rv>
  <rv s="7">
    <v>105</v>
  </rv>
  <rv s="0">
    <v>536870912</v>
    <v>Australia</v>
    <v>06de2191-243d-a83f-6990-2eb1c7f3382a</v>
    <v>en-GB</v>
    <v>Map</v>
  </rv>
  <rv s="1">
    <fb>0.48241944248714902</fb>
    <v>31</v>
  </rv>
  <rv s="1">
    <fb>7741220</fb>
    <v>32</v>
  </rv>
  <rv s="1">
    <fb>58000</fb>
    <v>32</v>
  </rv>
  <rv s="1">
    <fb>12.6</fb>
    <v>33</v>
  </rv>
  <rv s="1">
    <fb>61</fb>
    <v>34</v>
  </rv>
  <rv s="0">
    <v>536870912</v>
    <v>Canberra</v>
    <v>59ab58e3-2f00-9175-e7b8-76d910040855</v>
    <v>en-GB</v>
    <v>Map</v>
  </rv>
  <rv s="1">
    <fb>375907.837</fb>
    <v>32</v>
  </rv>
  <rv s="1">
    <fb>119.797086368366</fb>
    <v>35</v>
  </rv>
  <rv s="1">
    <fb>1.61076787290379E-2</fb>
    <v>31</v>
  </rv>
  <rv s="1">
    <fb>10071.3989785006</fb>
    <v>32</v>
  </rv>
  <rv s="1">
    <fb>1.74</fb>
    <v>33</v>
  </rv>
  <rv s="1">
    <fb>0.16258278059599401</fb>
    <v>31</v>
  </rv>
  <rv s="1">
    <fb>89.625630110237395</fb>
    <v>36</v>
  </rv>
  <rv s="1">
    <fb>0.93</fb>
    <v>37</v>
  </rv>
  <rv s="1">
    <fb>1392680589329.1399</fb>
    <v>38</v>
  </rv>
  <rv s="1">
    <fb>1.0033898000000001</fb>
    <v>31</v>
  </rv>
  <rv s="1">
    <fb>1.1314216000000001</fb>
    <v>31</v>
  </rv>
  <rv s="2">
    <v>1</v>
    <v>29</v>
    <v>55</v>
    <v>0</v>
    <v>Image of Australia</v>
  </rv>
  <rv s="1">
    <fb>3.1</fb>
    <v>36</v>
  </rv>
  <rv s="0">
    <v>536870912</v>
    <v>Sydney</v>
    <v>3ecec2e8-2993-42e7-7299-f693bbe3b9b9</v>
    <v>en-GB</v>
    <v>Map</v>
  </rv>
  <rv s="0">
    <v>805306368</v>
    <v>Elizabeth II (Monarch)</v>
    <v>01e347c1-9d99-c7e6-79d1-390a1844d093</v>
    <v>en-GB</v>
    <v>Generic</v>
  </rv>
  <rv s="0">
    <v>805306368</v>
    <v>Josh Frydenberg (Minister)</v>
    <v>49e61b90-ff4e-c3b9-e19f-71c91fb65b52</v>
    <v>en-GB</v>
    <v>Generic</v>
  </rv>
  <rv s="0">
    <v>805306368</v>
    <v>Scott Morrison (Minister)</v>
    <v>700027f5-7c17-cd49-9785-04b7023598f7</v>
    <v>en-GB</v>
    <v>Generic</v>
  </rv>
  <rv s="0">
    <v>805306368</v>
    <v>Marise Payne (Minister)</v>
    <v>cd9c9929-6142-5198-b223-76f660676213</v>
    <v>en-GB</v>
    <v>Generic</v>
  </rv>
  <rv s="0">
    <v>805306368</v>
    <v>Anne Ruston (Minister)</v>
    <v>99740a2f-6f48-49da-b87a-3b6b96362b1d</v>
    <v>en-GB</v>
    <v>Generic</v>
  </rv>
  <rv s="0">
    <v>805306368</v>
    <v>Angus Taylor (Minister)</v>
    <v>77f4f69e-8c8f-4cbf-a0dc-f0cfb1ed5f6f</v>
    <v>en-GB</v>
    <v>Generic</v>
  </rv>
  <rv s="0">
    <v>805306368</v>
    <v>Ken Wyatt (Minister)</v>
    <v>7fc5a0aa-1a94-2c1c-289d-0b3361414d61</v>
    <v>en-GB</v>
    <v>Generic</v>
  </rv>
  <rv s="0">
    <v>805306368</v>
    <v>Darren Chester (Minister)</v>
    <v>44711c1d-fba3-fc08-8e79-79210a893e48</v>
    <v>en-GB</v>
    <v>Generic</v>
  </rv>
  <rv s="3">
    <v>4</v>
  </rv>
  <rv s="4">
    <v>https://www.bing.com/search?q=australia&amp;form=skydnc</v>
    <v>Learn more on Bing</v>
  </rv>
  <rv s="1">
    <fb>82.748780487804893</fb>
    <v>36</v>
  </rv>
  <rv s="1">
    <fb>1487598500000</fb>
    <v>38</v>
  </rv>
  <rv s="1">
    <fb>6</fb>
    <v>36</v>
  </rv>
  <rv s="1">
    <fb>13.59</fb>
    <v>37</v>
  </rv>
  <rv s="1">
    <fb>0.19558295019999999</fb>
    <v>31</v>
  </rv>
  <rv s="1">
    <fb>3.6778</fb>
    <v>33</v>
  </rv>
  <rv s="1">
    <fb>25364307</fb>
    <v>32</v>
  </rv>
  <rv s="1">
    <fb>0.221</fb>
    <v>31</v>
  </rv>
  <rv s="1">
    <fb>0.27</fb>
    <v>31</v>
  </rv>
  <rv s="1">
    <fb>0.42100000000000004</fb>
    <v>31</v>
  </rv>
  <rv s="1">
    <fb>2.7999999999999997E-2</fb>
    <v>31</v>
  </rv>
  <rv s="1">
    <fb>7.400000000000001E-2</fb>
    <v>31</v>
  </rv>
  <rv s="1">
    <fb>0.122</fb>
    <v>31</v>
  </rv>
  <rv s="1">
    <fb>0.161</fb>
    <v>31</v>
  </rv>
  <rv s="1">
    <fb>0.65517997741699208</fb>
    <v>31</v>
  </rv>
  <rv s="0">
    <v>536870912</v>
    <v>New South Wales</v>
    <v>9143b1e4-782f-52c3-0f4a-cea5eaf6f36a</v>
    <v>en-GB</v>
    <v>Map</v>
  </rv>
  <rv s="0">
    <v>536870912</v>
    <v>South Australia</v>
    <v>202994ba-49c2-98c5-91fa-e0b05ffcf2da</v>
    <v>en-GB</v>
    <v>Map</v>
  </rv>
  <rv s="0">
    <v>536870912</v>
    <v>Australian Capital Territory</v>
    <v>c296eb2e-2c1a-16bf-bc37-164541ce7365</v>
    <v>en-GB</v>
    <v>Map</v>
  </rv>
  <rv s="0">
    <v>536870912</v>
    <v>Tasmania</v>
    <v>8327961c-5e1c-9007-38cc-b90bc76e7bc3</v>
    <v>en-GB</v>
    <v>Map</v>
  </rv>
  <rv s="0">
    <v>536870912</v>
    <v>Queensland</v>
    <v>d8d1c6ea-bc68-82f2-5bb3-ae7aa11442b4</v>
    <v>en-GB</v>
    <v>Map</v>
  </rv>
  <rv s="0">
    <v>536870912</v>
    <v>Western Australia</v>
    <v>bf87c7cd-72cb-99af-809b-eb7577149dcd</v>
    <v>en-GB</v>
    <v>Map</v>
  </rv>
  <rv s="0">
    <v>536870912</v>
    <v>Victoria</v>
    <v>afad25fd-4cbc-2e30-7764-19bd8a1cb1bc</v>
    <v>en-GB</v>
    <v>Map</v>
  </rv>
  <rv s="0">
    <v>536870912</v>
    <v>Northern Territory</v>
    <v>20947ace-4dd4-0516-21df-2af8da517b06</v>
    <v>en-GB</v>
    <v>Map</v>
  </rv>
  <rv s="3">
    <v>5</v>
  </rv>
  <rv s="1">
    <fb>0.22985815296127299</fb>
    <v>31</v>
  </rv>
  <rv s="3">
    <v>6</v>
  </rv>
  <rv s="1">
    <fb>0.47399999999999998</fb>
    <v>31</v>
  </rv>
  <rv s="1">
    <fb>5.2680001258850098E-2</fb>
    <v>40</v>
  </rv>
  <rv s="1">
    <fb>21844756</fb>
    <v>32</v>
  </rv>
  <rv s="5">
    <v>#VALUE!</v>
    <v>en-GB</v>
    <v>06de2191-243d-a83f-6990-2eb1c7f3382a</v>
    <v>536870912</v>
    <v>1</v>
    <v>53</v>
    <v>24</v>
    <v>Australia</v>
    <v>27</v>
    <v>28</v>
    <v>Map</v>
    <v>29</v>
    <v>54</v>
    <v>AU</v>
    <v>108</v>
    <v>109</v>
    <v>110</v>
    <v>111</v>
    <v>112</v>
    <v>113</v>
    <v>114</v>
    <v>115</v>
    <v>116</v>
    <v>AUD</v>
    <v>Australia, officially the Commonwealth of Australia, is a country comprising the mainland of the Australian continent, the island of Tasmania, and numerous smaller islands. It is the largest country in Oceania and the world's sixth-largest country. Australia's population of nearly 26 million, in an area of 7,617,930 square kilometres, is highly urbanised and heavily concentrated on the eastern seaboard. Canberra is the nation's capital, while the largest city is Sydney, and other major metropolitan areas are Melbourne, Brisbane, Perth, and Adelaide.</v>
    <v>117</v>
    <v>118</v>
    <v>119</v>
    <v>120</v>
    <v>121</v>
    <v>122</v>
    <v>123</v>
    <v>124</v>
    <v>125</v>
    <v>126</v>
    <v>127</v>
    <v>136</v>
    <v>137</v>
    <v>138</v>
    <v>139</v>
    <v>140</v>
    <v>141</v>
    <v>Australia</v>
    <v>Advance Australia Fair</v>
    <v>29</v>
    <v>Commonwealth of Australia</v>
    <v>142</v>
    <v>143</v>
    <v>144</v>
    <v>145</v>
    <v>146</v>
    <v>147</v>
    <v>148</v>
    <v>149</v>
    <v>150</v>
    <v>151</v>
    <v>152</v>
    <v>161</v>
    <v>162</v>
    <v>163</v>
    <v>164</v>
    <v>165</v>
    <v>Australia</v>
    <v>166</v>
    <v>mdp/vdpid/12</v>
  </rv>
  <rv s="6">
    <v>en-US</v>
    <v>auxprw</v>
    <v>268435456</v>
    <v>1</v>
    <v>Powered by Refinitiv</v>
    <v>41</v>
    <v>AUD/SGD</v>
    <v>42</v>
    <v>43</v>
    <v>Finance</v>
    <v>44</v>
    <v>1.0544</v>
    <v>0.94650000000000001</v>
    <v>-1E-4</v>
    <v>-9.7630000000000012E-5</v>
    <v>SGD</v>
    <v>AUD</v>
    <v>1.0249999999999999</v>
    <v>Currency Pair</v>
    <v>44356.144999999997</v>
    <v>1.024</v>
    <v>Australian Dollar/Singapore Dollar FX Cross Rate</v>
    <v>1.0242</v>
    <v>1.0243</v>
    <v>1.0242</v>
    <v>AUDSGD</v>
    <v>AUD/SGD</v>
  </rv>
  <rv s="7">
    <v>168</v>
  </rv>
  <rv s="0">
    <v>536870912</v>
    <v>Malaysia</v>
    <v>b3abad47-1313-e000-0d95-f77f69e2fcdd</v>
    <v>en-GB</v>
    <v>Map</v>
  </rv>
  <rv s="1">
    <fb>0.262577994217014</fb>
    <v>31</v>
  </rv>
  <rv s="1">
    <fb>329847</fb>
    <v>32</v>
  </rv>
  <rv s="1">
    <fb>136000</fb>
    <v>32</v>
  </rv>
  <rv s="1">
    <fb>16.751999999999999</fb>
    <v>33</v>
  </rv>
  <rv s="1">
    <fb>60</fb>
    <v>34</v>
  </rv>
  <rv s="0">
    <v>536870912</v>
    <v>Kuala Lumpur</v>
    <v>22f00b26-6726-bd5c-180f-3ff38ae380f3</v>
    <v>en-GB</v>
    <v>Map</v>
  </rv>
  <rv s="1">
    <fb>248288.90299999999</fb>
    <v>32</v>
  </rv>
  <rv s="1">
    <fb>121.463089485086</fb>
    <v>35</v>
  </rv>
  <rv s="1">
    <fb>6.6289186576437599E-3</fb>
    <v>31</v>
  </rv>
  <rv s="1">
    <fb>4651.9587341816004</fb>
    <v>32</v>
  </rv>
  <rv s="1">
    <fb>2.0009999999999999</fb>
    <v>33</v>
  </rv>
  <rv s="1">
    <fb>0.67597623554253505</fb>
    <v>31</v>
  </rv>
  <rv s="1">
    <fb>96.628198897808105</fb>
    <v>36</v>
  </rv>
  <rv s="1">
    <fb>0.45</fb>
    <v>37</v>
  </rv>
  <rv s="1">
    <fb>364701517787.84399</fb>
    <v>38</v>
  </rv>
  <rv s="1">
    <fb>1.052916</fb>
    <v>31</v>
  </rv>
  <rv s="1">
    <fb>0.45125390000000004</fb>
    <v>31</v>
  </rv>
  <rv s="2">
    <v>2</v>
    <v>29</v>
    <v>67</v>
    <v>0</v>
    <v>Image of Malaysia</v>
  </rv>
  <rv s="1">
    <fb>6.7</fb>
    <v>36</v>
  </rv>
  <rv s="0">
    <v>805306368</v>
    <v>Muhyiddin Yassin (Prime Minister)</v>
    <v>18ae8c1f-8fd2-4a6a-dc17-5d53b89375ed</v>
    <v>en-GB</v>
    <v>Generic</v>
  </rv>
  <rv s="0">
    <v>805306368</v>
    <v>Mahathir Mohamad (Prime Minister)</v>
    <v>7919c065-9e40-2cdd-d273-65f17c8ecb68</v>
    <v>en-GB</v>
    <v>Generic</v>
  </rv>
  <rv s="0">
    <v>805306368</v>
    <v>Saravanan Murugan (Minister)</v>
    <v>78795b79-d421-09f4-41ac-3a9d6c445b89</v>
    <v>en-GB</v>
    <v>Generic</v>
  </rv>
  <rv s="0">
    <v>805306368</v>
    <v>Saifuddin Abdullah (Minister)</v>
    <v>93c254aa-29f5-c194-3155-2ee0cb5fc690</v>
    <v>en-GB</v>
    <v>Generic</v>
  </rv>
  <rv s="0">
    <v>805306368</v>
    <v>Zafrul Aziz (Minister)</v>
    <v>b351c10c-92a3-9d01-68aa-afe29ce7c610</v>
    <v>en-GB</v>
    <v>Generic</v>
  </rv>
  <rv s="0">
    <v>805306368</v>
    <v>Ronald Kiandee (Minister)</v>
    <v>c5de3a1c-f1a5-03d8-2240-1e72e7e37027</v>
    <v>en-GB</v>
    <v>Generic</v>
  </rv>
  <rv s="0">
    <v>805306368</v>
    <v>Zulkifli Mohamad Al-Bakri (Minister)</v>
    <v>cca6af00-daeb-d083-1c9a-6fb8d48e6c10</v>
    <v>en-GB</v>
    <v>Generic</v>
  </rv>
  <rv s="0">
    <v>805306368</v>
    <v>Wan Junaidi Tuanku Jaafar (Minister)</v>
    <v>cb2850ac-cb75-1046-2da7-2e8a1fa4e66b</v>
    <v>en-GB</v>
    <v>Generic</v>
  </rv>
  <rv s="3">
    <v>7</v>
  </rv>
  <rv s="4">
    <v>https://www.bing.com/search?q=malaysia&amp;form=skydnc</v>
    <v>Learn more on Bing</v>
  </rv>
  <rv s="1">
    <fb>75.997</fb>
    <v>36</v>
  </rv>
  <rv s="1">
    <fb>403957380000</fb>
    <v>38</v>
  </rv>
  <rv s="1">
    <fb>29</fb>
    <v>36</v>
  </rv>
  <rv s="3">
    <v>8</v>
  </rv>
  <rv s="1">
    <fb>0.36668219639999999</fb>
    <v>31</v>
  </rv>
  <rv s="1">
    <fb>1.5132000000000001</fb>
    <v>33</v>
  </rv>
  <rv s="1">
    <fb>31949777</fb>
    <v>32</v>
  </rv>
  <rv s="1">
    <fb>0.22</fb>
    <v>31</v>
  </rv>
  <rv s="1">
    <fb>0.313</fb>
    <v>31</v>
  </rv>
  <rv s="1">
    <fb>0.47299999999999998</fb>
    <v>31</v>
  </rv>
  <rv s="1">
    <fb>2.3E-2</fb>
    <v>31</v>
  </rv>
  <rv s="1">
    <fb>5.7999999999999996E-2</fb>
    <v>31</v>
  </rv>
  <rv s="1">
    <fb>0.10099999999999999</fb>
    <v>31</v>
  </rv>
  <rv s="1">
    <fb>0.14800000000000002</fb>
    <v>31</v>
  </rv>
  <rv s="1">
    <fb>0.64289001464843809</fb>
    <v>31</v>
  </rv>
  <rv s="0">
    <v>536870912</v>
    <v>Penang</v>
    <v>bf464054-864b-9148-4d71-cc74f94e1588</v>
    <v>en-GB</v>
    <v>Map</v>
  </rv>
  <rv s="0">
    <v>536870912</v>
    <v>Sarawak</v>
    <v>dce6889b-8572-6739-b867-e448e9f0fc11</v>
    <v>en-GB</v>
    <v>Map</v>
  </rv>
  <rv s="0">
    <v>536870912</v>
    <v>Sabah</v>
    <v>6441d726-276d-e074-b446-2e6612c2e9e2</v>
    <v>en-GB</v>
    <v>Map</v>
  </rv>
  <rv s="0">
    <v>536870912</v>
    <v>Malacca</v>
    <v>44a9355d-c135-72b5-fc60-4291a89e003e</v>
    <v>en-GB</v>
    <v>Map</v>
  </rv>
  <rv s="0">
    <v>536870912</v>
    <v>Johor</v>
    <v>592580f7-38da-e7c1-18ba-b603c80b3d69</v>
    <v>en-GB</v>
    <v>Map</v>
  </rv>
  <rv s="0">
    <v>536870912</v>
    <v>Perak</v>
    <v>6ca4b1a2-6a13-0976-d0f4-e53c93091316</v>
    <v>en-GB</v>
    <v>Map</v>
  </rv>
  <rv s="0">
    <v>536870912</v>
    <v>Negeri Sembilan</v>
    <v>db3e30e6-d597-cb37-b5d7-d3dd4e8b5d00</v>
    <v>en-GB</v>
    <v>Map</v>
  </rv>
  <rv s="0">
    <v>536870912</v>
    <v>Selangor</v>
    <v>c58b8d2f-8526-6b7e-ae27-d302d98eb422</v>
    <v>en-GB</v>
    <v>Map</v>
  </rv>
  <rv s="0">
    <v>536870912</v>
    <v>Terengganu</v>
    <v>4c426c92-33a4-e12c-382a-d84a8509dfa2</v>
    <v>en-GB</v>
    <v>Map</v>
  </rv>
  <rv s="0">
    <v>536870912</v>
    <v>Kelantan</v>
    <v>4ce27f56-2eb0-d77a-ba8c-f8a03a225785</v>
    <v>en-GB</v>
    <v>Map</v>
  </rv>
  <rv s="0">
    <v>536870912</v>
    <v>Labuan</v>
    <v>c205ca77-748f-befb-6130-2a7a0eb87dbc</v>
    <v>en-GB</v>
    <v>Map</v>
  </rv>
  <rv s="0">
    <v>536870912</v>
    <v>Kedah</v>
    <v>1ad802ca-b889-4b0f-9d8c-d335fad09909</v>
    <v>en-GB</v>
    <v>Map</v>
  </rv>
  <rv s="0">
    <v>536870912</v>
    <v>Putrajaya</v>
    <v>703ccf1a-052c-03ee-0599-1ef25799d8dc</v>
    <v>en-GB</v>
    <v>Map</v>
  </rv>
  <rv s="0">
    <v>536870912</v>
    <v>Pahang</v>
    <v>829da6d6-c70a-85d9-8d5d-b70db574854d</v>
    <v>en-GB</v>
    <v>Map</v>
  </rv>
  <rv s="0">
    <v>536870912</v>
    <v>Perlis</v>
    <v>671c3535-7aad-076b-5860-99706390b32b</v>
    <v>en-GB</v>
    <v>Map</v>
  </rv>
  <rv s="3">
    <v>9</v>
  </rv>
  <rv s="1">
    <fb>0.12029692391138701</fb>
    <v>31</v>
  </rv>
  <rv s="3">
    <v>10</v>
  </rv>
  <rv s="1">
    <fb>0.38700000000000001</fb>
    <v>31</v>
  </rv>
  <rv s="1">
    <fb>3.32399988174438E-2</fb>
    <v>40</v>
  </rv>
  <rv s="1">
    <fb>24475766</fb>
    <v>32</v>
  </rv>
  <rv s="5">
    <v>#VALUE!</v>
    <v>en-GB</v>
    <v>b3abad47-1313-e000-0d95-f77f69e2fcdd</v>
    <v>536870912</v>
    <v>1</v>
    <v>65</v>
    <v>24</v>
    <v>Malaysia</v>
    <v>27</v>
    <v>28</v>
    <v>Map</v>
    <v>29</v>
    <v>66</v>
    <v>MY</v>
    <v>171</v>
    <v>172</v>
    <v>173</v>
    <v>174</v>
    <v>175</v>
    <v>176</v>
    <v>177</v>
    <v>178</v>
    <v>179</v>
    <v>MYR</v>
    <v>Malaysia is a country in Southeast Asia. The federal constitutional monarchy consists of thirteen states and three federal territories, separated by the South China Sea into two regions, Peninsular Malaysia and Borneo's East Malaysia. Peninsular Malaysia shares a land and maritime border with Thailand and maritime borders with Singapore, Vietnam, and Indonesia. East Malaysia shares land and maritime borders with Brunei and Indonesia and a maritime border with the Philippines and Vietnam. Kuala Lumpur is the national capital and largest city while Putrajaya is the seat of the federal government. With a population of over 32 million, Malaysia is the world's 43rd-most populous country. The southernmost point of continental Eurasia is in Tanjung Piai. In the tropics, Malaysia is one of 17 megadiverse countries, home to a number of endemic species.</v>
    <v>180</v>
    <v>181</v>
    <v>182</v>
    <v>183</v>
    <v>184</v>
    <v>185</v>
    <v>186</v>
    <v>187</v>
    <v>188</v>
    <v>189</v>
    <v>176</v>
    <v>198</v>
    <v>199</v>
    <v>200</v>
    <v>201</v>
    <v>202</v>
    <v>121</v>
    <v>Malaysia</v>
    <v>Negaraku</v>
    <v>203</v>
    <v>Malaysia</v>
    <v>204</v>
    <v>205</v>
    <v>206</v>
    <v>207</v>
    <v>208</v>
    <v>209</v>
    <v>210</v>
    <v>211</v>
    <v>212</v>
    <v>213</v>
    <v>214</v>
    <v>230</v>
    <v>231</v>
    <v>232</v>
    <v>233</v>
    <v>234</v>
    <v>Malaysia</v>
    <v>235</v>
    <v>mdp/vdpid/167</v>
  </rv>
  <rv s="6">
    <v>en-US</v>
    <v>avjcf2</v>
    <v>268435456</v>
    <v>1</v>
    <v>Powered by Refinitiv</v>
    <v>41</v>
    <v>MYR/SGD</v>
    <v>42</v>
    <v>43</v>
    <v>Finance</v>
    <v>44</v>
    <v>0.33069999999999999</v>
    <v>0.31859999999999999</v>
    <v>3.1E-4</v>
    <v>9.6579999999999995E-4</v>
    <v>SGD</v>
    <v>MYR</v>
    <v>0.32129999999999997</v>
    <v>Currency Pair</v>
    <v>44356.144826388889</v>
    <v>0.32129999999999997</v>
    <v>Malaysian Ringgit/Singapore Dollar FX Cross Rate</v>
    <v>0.32100000000000001</v>
    <v>0.32100000000000001</v>
    <v>0.32129999999999997</v>
    <v>MYRSGD</v>
    <v>MYR/SGD</v>
  </rv>
  <rv s="7">
    <v>237</v>
  </rv>
  <rv s="0">
    <v>536870912</v>
    <v>Hong Kong</v>
    <v>304df1d5-38ee-e835-eb2a-554caba5c30e</v>
    <v>en-GB</v>
    <v>Map</v>
  </rv>
  <rv s="1">
    <fb>4.7619047619047603E-2</fb>
    <v>31</v>
  </rv>
  <rv s="1">
    <fb>1108</fb>
    <v>32</v>
  </rv>
  <rv s="1">
    <fb>7.2</fb>
    <v>33</v>
  </rv>
  <rv s="1">
    <fb>852</fb>
    <v>34</v>
  </rv>
  <rv s="0">
    <v>536870912</v>
    <v>Victoria City, Hong Kong</v>
    <v>644c4679-89fe-6735-4bef-8faef0ed623b</v>
    <v>en-GB</v>
    <v>Map</v>
  </rv>
  <rv s="1">
    <fb>43644.633999999998</fb>
    <v>32</v>
  </rv>
  <rv s="1">
    <fb>134.593052867475</fb>
    <v>35</v>
  </rv>
  <rv s="1">
    <fb>2.8649279875438E-2</fb>
    <v>31</v>
  </rv>
  <rv s="1">
    <fb>6083.2699356802004</fb>
    <v>32</v>
  </rv>
  <rv s="1">
    <fb>1.0720000000000001</fb>
    <v>33</v>
  </rv>
  <rv s="1">
    <fb>93.172881620063393</fb>
    <v>36</v>
  </rv>
  <rv s="1">
    <fb>1.86</fb>
    <v>37</v>
  </rv>
  <rv s="1">
    <fb>366029556273.05103</fb>
    <v>38</v>
  </rv>
  <rv s="1">
    <fb>1.0861767</fb>
    <v>31</v>
  </rv>
  <rv s="1">
    <fb>0.76922230000000003</fb>
    <v>31</v>
  </rv>
  <rv s="2">
    <v>3</v>
    <v>29</v>
    <v>77</v>
    <v>0</v>
    <v>Image of Hong Kong</v>
  </rv>
  <rv s="0">
    <v>536870912</v>
    <v>Kowloon</v>
    <v>4cda8ccc-49df-e25d-4081-af247bd5d447</v>
    <v>en-GB</v>
    <v>Map</v>
  </rv>
  <rv s="0">
    <v>805306368</v>
    <v>Carrie Lam (Chief executive)</v>
    <v>7252b5dc-b1d6-ef5a-0318-f71d3206d8a1</v>
    <v>en-GB</v>
    <v>Generic</v>
  </rv>
  <rv s="3">
    <v>11</v>
  </rv>
  <rv s="4">
    <v>https://www.bing.com/search?q=hong+kong&amp;form=skydnc</v>
    <v>Learn more on Bing</v>
  </rv>
  <rv s="1">
    <fb>84.934146341463403</fb>
    <v>36</v>
  </rv>
  <rv s="1">
    <fb>4899234580000</fb>
    <v>38</v>
  </rv>
  <rv s="1">
    <fb>4.4400000000000004</fb>
    <v>37</v>
  </rv>
  <rv s="3">
    <v>12</v>
  </rv>
  <rv s="1">
    <fb>1.319</fb>
    <v>33</v>
  </rv>
  <rv s="1">
    <fb>7507400</fb>
    <v>32</v>
  </rv>
  <rv s="1">
    <fb>0.60073001861572306</fb>
    <v>31</v>
  </rv>
  <rv s="3">
    <v>13</v>
  </rv>
  <rv s="1">
    <fb>0.21899999999999997</fb>
    <v>31</v>
  </rv>
  <rv s="1">
    <fb>3.6289999485015899E-2</fb>
    <v>40</v>
  </rv>
  <rv s="8">
    <v>#VALUE!</v>
    <v>en-GB</v>
    <v>304df1d5-38ee-e835-eb2a-554caba5c30e</v>
    <v>536870912</v>
    <v>1</v>
    <v>74</v>
    <v>75</v>
    <v>Hong Kong</v>
    <v>27</v>
    <v>28</v>
    <v>Map</v>
    <v>29</v>
    <v>76</v>
    <v>HK</v>
    <v>240</v>
    <v>241</v>
    <v>242</v>
    <v>243</v>
    <v>244</v>
    <v>245</v>
    <v>246</v>
    <v>247</v>
    <v>Hong Kong, officially the Hong Kong Special Administrative Region of the People's Republic of China, is a metropolitan area and special administrative region of China on the eastern Pearl River Delta in South China. With over 7.5 million residents of various nationalities in a 1,104-square-kilometre territory, Hong Kong is one of the most densely populated places in the world.</v>
    <v>248</v>
    <v>249</v>
    <v>250</v>
    <v>251</v>
    <v>252</v>
    <v>253</v>
    <v>254</v>
    <v>255</v>
    <v>256</v>
    <v>258</v>
    <v>259</v>
    <v>260</v>
    <v>261</v>
    <v>262</v>
    <v>Hong Kong</v>
    <v>March of the Volunteers</v>
    <v>263</v>
    <v>Hong Kong Special Administrative Region</v>
    <v>264</v>
    <v>265</v>
    <v>266</v>
    <v>267</v>
    <v>268</v>
    <v>269</v>
    <v>Hong Kong</v>
    <v>265</v>
    <v>mdp/vdpid/104</v>
  </rv>
  <rv s="6">
    <v>en-US</v>
    <v>avbr4c</v>
    <v>268435456</v>
    <v>1</v>
    <v>Powered by Refinitiv</v>
    <v>41</v>
    <v>HKD/SGD</v>
    <v>42</v>
    <v>43</v>
    <v>Finance</v>
    <v>44</v>
    <v>0.18099999999999999</v>
    <v>0.16969999999999999</v>
    <v>1E-4</v>
    <v>5.865E-4</v>
    <v>SGD</v>
    <v>HKD</v>
    <v>0.17069999999999999</v>
    <v>Currency Pair</v>
    <v>44356.144918981481</v>
    <v>0.17050000000000001</v>
    <v>Hong Kong Dollar/Singapore Dollar FX Cross Rate</v>
    <v>0.17050000000000001</v>
    <v>0.17050000000000001</v>
    <v>0.1706</v>
    <v>HKDSGD</v>
    <v>HKD/SGD</v>
  </rv>
  <rv s="7">
    <v>271</v>
  </rv>
  <rv s="0">
    <v>536870912</v>
    <v>Indonesia</v>
    <v>b4a5bd62-2259-21e3-4627-bf249ae6ee84</v>
    <v>en-GB</v>
    <v>Map</v>
  </rv>
  <rv s="1">
    <fb>0.31464420364656098</fb>
    <v>31</v>
  </rv>
  <rv s="1">
    <fb>1904569</fb>
    <v>32</v>
  </rv>
  <rv s="1">
    <fb>676000</fb>
    <v>32</v>
  </rv>
  <rv s="1">
    <fb>18.071999999999999</fb>
    <v>33</v>
  </rv>
  <rv s="1">
    <fb>62</fb>
    <v>34</v>
  </rv>
  <rv s="0">
    <v>536870912</v>
    <v>Jakarta</v>
    <v>6261fc72-a172-5cdd-9c67-a7644a026c29</v>
    <v>en-GB</v>
    <v>Map</v>
  </rv>
  <rv s="1">
    <fb>563324.54</fb>
    <v>32</v>
  </rv>
  <rv s="1">
    <fb>151.17667507135201</fb>
    <v>35</v>
  </rv>
  <rv s="1">
    <fb>3.0305866496949097E-2</fb>
    <v>31</v>
  </rv>
  <rv s="1">
    <fb>811.90690494758496</fb>
    <v>32</v>
  </rv>
  <rv s="1">
    <fb>2.3109999999999999</fb>
    <v>33</v>
  </rv>
  <rv s="1">
    <fb>0.49860398197419897</fb>
    <v>31</v>
  </rv>
  <rv s="1">
    <fb>66.089475456589</fb>
    <v>36</v>
  </rv>
  <rv s="1">
    <fb>0.63</fb>
    <v>37</v>
  </rv>
  <rv s="1">
    <fb>1119190780752.8</fb>
    <v>38</v>
  </rv>
  <rv s="1">
    <fb>1.0641081999999999</fb>
    <v>31</v>
  </rv>
  <rv s="1">
    <fb>0.3631104</fb>
    <v>31</v>
  </rv>
  <rv s="2">
    <v>4</v>
    <v>29</v>
    <v>89</v>
    <v>0</v>
    <v>Image of Indonesia</v>
  </rv>
  <rv s="1">
    <fb>21.1</fb>
    <v>36</v>
  </rv>
  <rv s="0">
    <v>536870912</v>
    <v>Kalimantan</v>
    <v>48aa7165-5c3e-8f0f-dc18-7912239a9af0</v>
    <v>en-GB</v>
    <v>Map</v>
  </rv>
  <rv s="0">
    <v>805306368</v>
    <v>Joko Widodo (President)</v>
    <v>0e561e59-7fca-ba4b-34f2-e33811030cff</v>
    <v>en-GB</v>
    <v>Generic</v>
  </rv>
  <rv s="0">
    <v>805306368</v>
    <v>Sri Mulyani Indrawati (Minister)</v>
    <v>a5c4558a-dbfc-8300-1ab2-a2f89b5c3ccd</v>
    <v>en-GB</v>
    <v>Generic</v>
  </rv>
  <rv s="0">
    <v>805306368</v>
    <v>Ma'ruf Amin (Vice President)</v>
    <v>29ff1220-4804-d4c1-f570-57918054b501</v>
    <v>en-GB</v>
    <v>Generic</v>
  </rv>
  <rv s="3">
    <v>14</v>
  </rv>
  <rv s="4">
    <v>https://www.bing.com/search?q=indonesia&amp;form=skydnc</v>
    <v>Learn more on Bing</v>
  </rv>
  <rv s="1">
    <fb>71.509</fb>
    <v>36</v>
  </rv>
  <rv s="1">
    <fb>523321860000</fb>
    <v>38</v>
  </rv>
  <rv s="1">
    <fb>177</fb>
    <v>36</v>
  </rv>
  <rv s="1">
    <fb>0.48</fb>
    <v>37</v>
  </rv>
  <rv s="3">
    <v>15</v>
  </rv>
  <rv s="1">
    <fb>0.48302203660000004</fb>
    <v>31</v>
  </rv>
  <rv s="1">
    <fb>0.4269</fb>
    <v>33</v>
  </rv>
  <rv s="1">
    <fb>270203917</fb>
    <v>32</v>
  </rv>
  <rv s="1">
    <fb>0.217</fb>
    <v>31</v>
  </rv>
  <rv s="1">
    <fb>0.30399999999999999</fb>
    <v>31</v>
  </rv>
  <rv s="1">
    <fb>0.46100000000000002</fb>
    <v>31</v>
  </rv>
  <rv s="1">
    <fb>6.7000000000000004E-2</fb>
    <v>31</v>
  </rv>
  <rv s="1">
    <fb>0.105</fb>
    <v>31</v>
  </rv>
  <rv s="1">
    <fb>0.14899999999999999</fb>
    <v>31</v>
  </rv>
  <rv s="1">
    <fb>0.67496002197265592</fb>
    <v>31</v>
  </rv>
  <rv s="0">
    <v>536870912</v>
    <v>Bali</v>
    <v>c4f6d9fa-e141-4316-1f4b-6dff75b71985</v>
    <v>en-GB</v>
    <v>Map</v>
  </rv>
  <rv s="0">
    <v>536870912</v>
    <v>West Java</v>
    <v>931eb2be-2b48-b0ff-4997-05f06cf85b18</v>
    <v>en-GB</v>
    <v>Map</v>
  </rv>
  <rv s="0">
    <v>536870912</v>
    <v>West Sumatra</v>
    <v>3ad5cdb7-7630-6662-ae72-367bbd112dc0</v>
    <v>en-GB</v>
    <v>Map</v>
  </rv>
  <rv s="0">
    <v>536870912</v>
    <v>Central Java</v>
    <v>39b12ecc-e3fb-184d-0602-e36314b32c5d</v>
    <v>en-GB</v>
    <v>Map</v>
  </rv>
  <rv s="0">
    <v>536870912</v>
    <v>East Java</v>
    <v>f76a129e-0160-9c71-d6b5-fb788a91af78</v>
    <v>en-GB</v>
    <v>Map</v>
  </rv>
  <rv s="0">
    <v>536870912</v>
    <v>South Sulawesi</v>
    <v>f6bf6682-f96f-24d6-1b1b-b05c77b899cd</v>
    <v>en-GB</v>
    <v>Map</v>
  </rv>
  <rv s="0">
    <v>536870912</v>
    <v>North Sumatra</v>
    <v>42ca1f6c-e43e-bf42-fe72-4ad9e000d932</v>
    <v>en-GB</v>
    <v>Map</v>
  </rv>
  <rv s="0">
    <v>536870912</v>
    <v>North Sulawesi</v>
    <v>70a8dc2d-0ecd-0471-3c78-516c671329a4</v>
    <v>en-GB</v>
    <v>Map</v>
  </rv>
  <rv s="0">
    <v>536870912</v>
    <v>South Sumatra</v>
    <v>3f0b33c1-6f1e-a592-3d72-2b8e053c5609</v>
    <v>en-GB</v>
    <v>Map</v>
  </rv>
  <rv s="0">
    <v>536870912</v>
    <v>Maluku</v>
    <v>39a3c290-4f4b-b61e-f197-a09ae7642267</v>
    <v>en-GB</v>
    <v>Map</v>
  </rv>
  <rv s="0">
    <v>536870912</v>
    <v>Papua</v>
    <v>0f2c1326-0491-269f-31e1-74488078a32a</v>
    <v>en-GB</v>
    <v>Map</v>
  </rv>
  <rv s="0">
    <v>536870912</v>
    <v>Banten</v>
    <v>b4e3eb01-c9fd-7eab-acf2-789027f22206</v>
    <v>en-GB</v>
    <v>Map</v>
  </rv>
  <rv s="0">
    <v>536870912</v>
    <v>Special Region of Yogyakarta</v>
    <v>7a5ea5db-f9d5-434b-8ed3-d1dbe5b4e377</v>
    <v>en-GB</v>
    <v>Map</v>
  </rv>
  <rv s="0">
    <v>536870912</v>
    <v>Aceh</v>
    <v>a7512e23-3525-d514-b5ee-6adb3af70ca0</v>
    <v>en-GB</v>
    <v>Map</v>
  </rv>
  <rv s="0">
    <v>536870912</v>
    <v>East Nusa Tenggara</v>
    <v>0f9a80a8-52fa-396b-9da0-b9128a05870d</v>
    <v>en-GB</v>
    <v>Map</v>
  </rv>
  <rv s="0">
    <v>536870912</v>
    <v>North Maluku</v>
    <v>4d1d7c2d-e3a4-666c-5b1d-1a8b18de3a5c</v>
    <v>en-GB</v>
    <v>Map</v>
  </rv>
  <rv s="0">
    <v>536870912</v>
    <v>West Kalimantan</v>
    <v>5febf7f0-5901-95c6-deac-984325a2c927</v>
    <v>en-GB</v>
    <v>Map</v>
  </rv>
  <rv s="0">
    <v>536870912</v>
    <v>South Kalimantan</v>
    <v>d0e9b3fa-cc83-7afb-07e9-c2d457864e16</v>
    <v>en-GB</v>
    <v>Map</v>
  </rv>
  <rv s="0">
    <v>536870912</v>
    <v>Jambi</v>
    <v>f9f17551-f6f4-8e98-3914-364646c1f529</v>
    <v>en-GB</v>
    <v>Map</v>
  </rv>
  <rv s="0">
    <v>536870912</v>
    <v>Riau</v>
    <v>f537ab07-cdad-a175-50d8-b58eb136e125</v>
    <v>en-GB</v>
    <v>Map</v>
  </rv>
  <rv s="0">
    <v>536870912</v>
    <v>Riau Islands</v>
    <v>e3471e28-8f42-6ecf-4ccf-4698fdb6ba7b</v>
    <v>en-GB</v>
    <v>Map</v>
  </rv>
  <rv s="0">
    <v>536870912</v>
    <v>West Papua</v>
    <v>2bd66757-1154-0845-4ab3-b533eaafb66a</v>
    <v>en-GB</v>
    <v>Map</v>
  </rv>
  <rv s="0">
    <v>536870912</v>
    <v>Lampung</v>
    <v>c37bf0bc-29d7-8a9d-c9ca-5d41aeee72da</v>
    <v>en-GB</v>
    <v>Map</v>
  </rv>
  <rv s="0">
    <v>536870912</v>
    <v>East Kalimantan</v>
    <v>1c25ef68-f0fa-78fc-107b-520cea759d8a</v>
    <v>en-GB</v>
    <v>Map</v>
  </rv>
  <rv s="0">
    <v>536870912</v>
    <v>Bangka Belitung Islands</v>
    <v>3af40073-e8c1-5118-afe5-3cbc63eec4de</v>
    <v>en-GB</v>
    <v>Map</v>
  </rv>
  <rv s="0">
    <v>536870912</v>
    <v>Bengkulu</v>
    <v>ca439385-218f-1525-c930-ce7acb910fd2</v>
    <v>en-GB</v>
    <v>Map</v>
  </rv>
  <rv s="0">
    <v>536870912</v>
    <v>West Nusa Tenggara</v>
    <v>0407c75f-c808-9cce-028b-f2d85975e54a</v>
    <v>en-GB</v>
    <v>Map</v>
  </rv>
  <rv s="0">
    <v>536870912</v>
    <v>Gorontalo</v>
    <v>e2330abd-3509-8dcd-5446-d0bdb068233e</v>
    <v>en-GB</v>
    <v>Map</v>
  </rv>
  <rv s="0">
    <v>536870912</v>
    <v>Central Sulawesi</v>
    <v>fca0651b-c50d-6497-3564-cf378d76f7ca</v>
    <v>en-GB</v>
    <v>Map</v>
  </rv>
  <rv s="0">
    <v>536870912</v>
    <v>West Sulawesi</v>
    <v>50e1c5b6-8c37-abe2-96fd-7b0ddfe17455</v>
    <v>en-GB</v>
    <v>Map</v>
  </rv>
  <rv s="0">
    <v>536870912</v>
    <v>Central Kalimantan</v>
    <v>8d3f7094-f4c0-94dc-e426-1fcab06739ff</v>
    <v>en-GB</v>
    <v>Map</v>
  </rv>
  <rv s="0">
    <v>536870912</v>
    <v>Southeast Sulawesi</v>
    <v>4aff599f-5e3f-801e-344a-16dcaacba1b8</v>
    <v>en-GB</v>
    <v>Map</v>
  </rv>
  <rv s="0">
    <v>536870912</v>
    <v>North Kalimantan</v>
    <v>669e45da-91e6-45ec-af06-a29b2ed52f69</v>
    <v>en-GB</v>
    <v>Map</v>
  </rv>
  <rv s="3">
    <v>16</v>
  </rv>
  <rv s="1">
    <fb>0.10230449477737399</fb>
    <v>31</v>
  </rv>
  <rv s="3">
    <v>17</v>
  </rv>
  <rv s="1">
    <fb>0.30099999999999999</fb>
    <v>31</v>
  </rv>
  <rv s="1">
    <fb>4.6869997978210398E-2</fb>
    <v>40</v>
  </rv>
  <rv s="1">
    <fb>151509724</fb>
    <v>32</v>
  </rv>
  <rv s="5">
    <v>#VALUE!</v>
    <v>en-GB</v>
    <v>b4a5bd62-2259-21e3-4627-bf249ae6ee84</v>
    <v>536870912</v>
    <v>1</v>
    <v>87</v>
    <v>24</v>
    <v>Indonesia</v>
    <v>27</v>
    <v>28</v>
    <v>Map</v>
    <v>29</v>
    <v>88</v>
    <v>ID</v>
    <v>274</v>
    <v>275</v>
    <v>276</v>
    <v>277</v>
    <v>278</v>
    <v>279</v>
    <v>280</v>
    <v>281</v>
    <v>282</v>
    <v>IDR</v>
    <v>Indonesia, officially the Republic of Indonesia, is a country in Southeast Asia and Oceania between the Indian and Pacific oceans. It consists of over seventeen thousand islands, including Sumatra, Java, Sulawesi, and parts of Borneo and New Guinea. Indonesia is the world's largest island country and the 14th-largest country by land area, at 1,904,569 square kilometres. With more than 270 million people, Indonesia is the world's fourth-most populous country and the most populous Muslim-majority country. Java, the world's most populous island, is home to more than half of the country's population.</v>
    <v>283</v>
    <v>284</v>
    <v>285</v>
    <v>286</v>
    <v>287</v>
    <v>288</v>
    <v>289</v>
    <v>290</v>
    <v>291</v>
    <v>292</v>
    <v>293</v>
    <v>297</v>
    <v>298</v>
    <v>299</v>
    <v>300</v>
    <v>301</v>
    <v>302</v>
    <v>Indonesia</v>
    <v>Indonesia Raya</v>
    <v>303</v>
    <v>Republic of Indonesia</v>
    <v>304</v>
    <v>305</v>
    <v>306</v>
    <v>307</v>
    <v>308</v>
    <v>309</v>
    <v>148</v>
    <v>310</v>
    <v>311</v>
    <v>312</v>
    <v>313</v>
    <v>347</v>
    <v>348</v>
    <v>349</v>
    <v>350</v>
    <v>351</v>
    <v>Indonesia</v>
    <v>352</v>
    <v>mdp/vdpid/111</v>
  </rv>
  <rv s="9">
    <v>en-US</v>
    <v>avcyk2</v>
    <v>268435456</v>
    <v>1</v>
    <v>Powered by Refinitiv</v>
    <v>90</v>
    <v>IDR/SGD</v>
    <v>42</v>
    <v>91</v>
    <v>Finance</v>
    <v>44</v>
    <v>1.005E-4</v>
    <v>9.1100000000000005E-5</v>
    <v>0</v>
    <v>SGD</v>
    <v>IDR</v>
    <v>9.2899999999999995E-5</v>
    <v>Currency Pair</v>
    <v>44356.144826388889</v>
    <v>9.2800000000000006E-5</v>
    <v>Indonesian Rupiah/Singapore Dollar FX Cross Rate</v>
    <v>9.2800000000000006E-5</v>
    <v>9.2800000000000006E-5</v>
    <v>9.2800000000000006E-5</v>
    <v>IDRSGD</v>
    <v>IDR/SGD</v>
  </rv>
  <rv s="7">
    <v>354</v>
  </rv>
  <rv s="0">
    <v>536870912</v>
    <v>United Kingdom</v>
    <v>b1a5155a-6bb2-4646-8f7c-3e6b3a53c831</v>
    <v>en-GB</v>
    <v>Map</v>
  </rv>
  <rv s="1">
    <fb>0.71714878141404492</fb>
    <v>31</v>
  </rv>
  <rv s="1">
    <fb>243610</fb>
    <v>32</v>
  </rv>
  <rv s="1">
    <fb>148000</fb>
    <v>32</v>
  </rv>
  <rv s="1">
    <fb>11</fb>
    <v>33</v>
  </rv>
  <rv s="1">
    <fb>44</fb>
    <v>34</v>
  </rv>
  <rv s="0">
    <v>536870912</v>
    <v>London</v>
    <v>8e0ba7b6-4225-fa8a-6369-1b5294e602a5</v>
    <v>en-GB</v>
    <v>Map</v>
  </rv>
  <rv s="1">
    <fb>379024.78700000001</fb>
    <v>32</v>
  </rv>
  <rv s="1">
    <fb>119.622711300166</fb>
    <v>35</v>
  </rv>
  <rv s="1">
    <fb>1.7381046008651101E-2</fb>
    <v>31</v>
  </rv>
  <rv s="1">
    <fb>5129.5277927901998</fb>
    <v>32</v>
  </rv>
  <rv s="1">
    <fb>1.68</fb>
    <v>33</v>
  </rv>
  <rv s="1">
    <fb>0.130657628239573</fb>
    <v>31</v>
  </rv>
  <rv s="1">
    <fb>80.351771267255202</fb>
    <v>36</v>
  </rv>
  <rv s="1">
    <fb>1.46</fb>
    <v>37</v>
  </rv>
  <rv s="1">
    <fb>2827113184695.5801</fb>
    <v>38</v>
  </rv>
  <rv s="1">
    <fb>1.0115456</fb>
    <v>31</v>
  </rv>
  <rv s="1">
    <fb>0.59995569999999998</fb>
    <v>31</v>
  </rv>
  <rv s="2">
    <v>5</v>
    <v>29</v>
    <v>101</v>
    <v>0</v>
    <v>Image of United Kingdom</v>
  </rv>
  <rv s="1">
    <fb>3.6</fb>
    <v>36</v>
  </rv>
  <rv s="0">
    <v>805306368</v>
    <v>Boris Johnson (Prime Minister)</v>
    <v>fe217755-2d46-1c61-dded-740ff4500899</v>
    <v>en-GB</v>
    <v>Generic</v>
  </rv>
  <rv s="0">
    <v>805306368</v>
    <v>Justine Greening (Minister)</v>
    <v>7aff4253-0f04-ea8e-9418-a9ef69475621</v>
    <v>en-GB</v>
    <v>Generic</v>
  </rv>
  <rv s="0">
    <v>805306368</v>
    <v>Nadhim Zahawi (Minister)</v>
    <v>394346ee-f3b1-c53c-2bcd-8d22bdee8814</v>
    <v>en-GB</v>
    <v>Generic</v>
  </rv>
  <rv s="0">
    <v>805306368</v>
    <v>Natalie Evans, Baroness Evans of Bowes Park (Minister)</v>
    <v>fcf767e2-c1da-d731-e0f0-696a3bd436b5</v>
    <v>en-GB</v>
    <v>Generic</v>
  </rv>
  <rv s="3">
    <v>18</v>
  </rv>
  <rv s="4">
    <v>https://www.bing.com/search?q=united+kingdom&amp;form=skydnc</v>
    <v>Learn more on Bing</v>
  </rv>
  <rv s="1">
    <fb>81.256097560975604</fb>
    <v>36</v>
  </rv>
  <rv s="1">
    <fb>1868152970000</fb>
    <v>38</v>
  </rv>
  <rv s="1">
    <fb>7</fb>
    <v>36</v>
  </rv>
  <rv s="1">
    <fb>10.130000000000001</fb>
    <v>37</v>
  </rv>
  <rv s="3">
    <v>19</v>
  </rv>
  <rv s="1">
    <fb>0.14794489889999998</fb>
    <v>31</v>
  </rv>
  <rv s="1">
    <fb>2.8117000000000001</fb>
    <v>33</v>
  </rv>
  <rv s="1">
    <fb>66834405</fb>
    <v>32</v>
  </rv>
  <rv s="1">
    <fb>0.22500000000000001</fb>
    <v>31</v>
  </rv>
  <rv s="1">
    <fb>0.26800000000000002</fb>
    <v>31</v>
  </rv>
  <rv s="1">
    <fb>7.0999999999999994E-2</fb>
    <v>31</v>
  </rv>
  <rv s="1">
    <fb>0.11900000000000001</fb>
    <v>31</v>
  </rv>
  <rv s="1">
    <fb>0.16399999999999998</fb>
    <v>31</v>
  </rv>
  <rv s="1">
    <fb>0.62773998260497998</fb>
    <v>31</v>
  </rv>
  <rv s="0">
    <v>536870912</v>
    <v>Somerset</v>
    <v>2b333df9-032c-c9b1-0d74-88ea8c5befbd</v>
    <v>en-GB</v>
    <v>Map</v>
  </rv>
  <rv s="0">
    <v>536870912</v>
    <v>Lancashire</v>
    <v>d2ddd91b-d3db-c97c-d4e1-b66d033659fa</v>
    <v>en-GB</v>
    <v>Map</v>
  </rv>
  <rv s="0">
    <v>536870912</v>
    <v>England</v>
    <v>280d39e8-7217-6863-6980-a8c20c211c89</v>
    <v>en-GB</v>
    <v>Map</v>
  </rv>
  <rv s="0">
    <v>536870912</v>
    <v>Liverpool</v>
    <v>a5642e81-20ab-a561-17cc-52a63926b210</v>
    <v>en-GB</v>
    <v>Map</v>
  </rv>
  <rv s="0">
    <v>536870912</v>
    <v>City of London</v>
    <v>3513d611-e6ca-408d-8d00-c93a427d32ad</v>
    <v>en-GB</v>
    <v>Map</v>
  </rv>
  <rv s="0">
    <v>536870912</v>
    <v>Newcastle upon Tyne</v>
    <v>e1ab16e3-5050-dafb-7e90-7ceb4efd055d</v>
    <v>en-GB</v>
    <v>Map</v>
  </rv>
  <rv s="0">
    <v>536870912</v>
    <v>Stoke-on-Trent</v>
    <v>2efa6384-eb20-dbf0-d19a-2c63f3b239fb</v>
    <v>en-GB</v>
    <v>Map</v>
  </rv>
  <rv s="0">
    <v>536870912</v>
    <v>Cornwall</v>
    <v>7ce7e82d-6d0f-f7b6-daf4-9018d403a859</v>
    <v>en-GB</v>
    <v>Map</v>
  </rv>
  <rv s="0">
    <v>536870912</v>
    <v>Derbyshire</v>
    <v>a3be3ce0-6a5c-7632-5ef1-6034834ffe0e</v>
    <v>en-GB</v>
    <v>Map</v>
  </rv>
  <rv s="0">
    <v>536870912</v>
    <v>Worcestershire</v>
    <v>92b6b35e-17f8-7d50-a89b-650c809a2158</v>
    <v>en-GB</v>
    <v>Map</v>
  </rv>
  <rv s="0">
    <v>536870912</v>
    <v>Lincolnshire</v>
    <v>1b1b62b6-be46-b598-310b-b10fe8c992b8</v>
    <v>en-GB</v>
    <v>Map</v>
  </rv>
  <rv s="0">
    <v>536870912</v>
    <v>Shropshire</v>
    <v>620367d1-f8ad-2237-2ba3-9bd995d6cb3e</v>
    <v>en-GB</v>
    <v>Map</v>
  </rv>
  <rv s="0">
    <v>536870912</v>
    <v>Wiltshire</v>
    <v>4ebe79fa-f77b-5216-7ef9-f8ea04679349</v>
    <v>en-GB</v>
    <v>Map</v>
  </rv>
  <rv s="0">
    <v>536870912</v>
    <v>Northamptonshire</v>
    <v>6b5ff743-48aa-7f30-4bfe-97eeede8e6fa</v>
    <v>en-GB</v>
    <v>Map</v>
  </rv>
  <rv s="0">
    <v>536870912</v>
    <v>Isle of Wight</v>
    <v>95d8ced0-437b-28ff-5329-8fbf91940733</v>
    <v>en-GB</v>
    <v>Map</v>
  </rv>
  <rv s="0">
    <v>536870912</v>
    <v>Surrey</v>
    <v>4e00ff19-370b-4752-b12d-9b5088a81c75</v>
    <v>en-GB</v>
    <v>Map</v>
  </rv>
  <rv s="0">
    <v>536870912</v>
    <v>Norfolk</v>
    <v>1f7d5120-8b19-7582-e7d0-2351c715f854</v>
    <v>en-GB</v>
    <v>Map</v>
  </rv>
  <rv s="0">
    <v>536870912</v>
    <v>Coventry</v>
    <v>452272b4-d4d5-224d-223b-58b995e82185</v>
    <v>en-GB</v>
    <v>Map</v>
  </rv>
  <rv s="0">
    <v>536870912</v>
    <v>Warrington</v>
    <v>4079f4c4-ee00-1666-ed95-342e8d1634e2</v>
    <v>en-GB</v>
    <v>Map</v>
  </rv>
  <rv s="0">
    <v>536870912</v>
    <v>Blackpool</v>
    <v>a2968ee5-f872-4ab4-6479-95727f9bc6a7</v>
    <v>en-GB</v>
    <v>Map</v>
  </rv>
  <rv s="0">
    <v>536870912</v>
    <v>Bournemouth</v>
    <v>798e72ae-7e6b-eaba-0080-5e2b222ddfb7</v>
    <v>en-GB</v>
    <v>Map</v>
  </rv>
  <rv s="0">
    <v>536870912</v>
    <v>Buckinghamshire</v>
    <v>ff464c2a-d8cf-cd5b-431b-50f9494b808a</v>
    <v>en-GB</v>
    <v>Map</v>
  </rv>
  <rv s="0">
    <v>536870912</v>
    <v>County Durham</v>
    <v>326adeba-4a25-fb10-67b8-480c6d7f4b2d</v>
    <v>en-GB</v>
    <v>Map</v>
  </rv>
  <rv s="0">
    <v>536870912</v>
    <v>Dorset</v>
    <v>248ebd80-8904-8a43-be23-3cd065a30350</v>
    <v>en-GB</v>
    <v>Map</v>
  </rv>
  <rv s="0">
    <v>536870912</v>
    <v>Devon</v>
    <v>5ad1bd45-b1d3-1dd7-13e3-f0ecea97ece7</v>
    <v>en-GB</v>
    <v>Map</v>
  </rv>
  <rv s="0">
    <v>536870912</v>
    <v>Cumbria</v>
    <v>a192dc6e-69b1-5d04-741f-67720ce0ebfc</v>
    <v>en-GB</v>
    <v>Map</v>
  </rv>
  <rv s="0">
    <v>536870912</v>
    <v>Hampshire</v>
    <v>2d3a57b7-ee5f-c34a-1ce7-09a573697693</v>
    <v>en-GB</v>
    <v>Map</v>
  </rv>
  <rv s="0">
    <v>536870912</v>
    <v>West Sussex</v>
    <v>6fef3193-51df-c781-5d99-8b60839e1cf9</v>
    <v>en-GB</v>
    <v>Map</v>
  </rv>
  <rv s="0">
    <v>536870912</v>
    <v>Suffolk</v>
    <v>b891db46-5bbb-53eb-6a27-28ae58d995e9</v>
    <v>en-GB</v>
    <v>Map</v>
  </rv>
  <rv s="0">
    <v>536870912</v>
    <v>York</v>
    <v>a60ce14b-6919-f15c-15bd-5d5494ff8598</v>
    <v>en-GB</v>
    <v>Map</v>
  </rv>
  <rv s="0">
    <v>536870912</v>
    <v>Newport</v>
    <v>eb987e3b-b3c7-4072-08fa-b6ba938b35e1</v>
    <v>en-GB</v>
    <v>Map</v>
  </rv>
  <rv s="0">
    <v>536870912</v>
    <v>Derby</v>
    <v>137d5451-9100-4ac6-b03e-fbc72ac322f4</v>
    <v>en-GB</v>
    <v>Map</v>
  </rv>
  <rv s="0">
    <v>536870912</v>
    <v>Wales</v>
    <v>b51b24e1-6afb-d525-d360-f2eb5bf3410b</v>
    <v>en-GB</v>
    <v>Map</v>
  </rv>
  <rv s="0">
    <v>536870912</v>
    <v>Gloucestershire</v>
    <v>eab8d5d9-01a7-f0db-d230-ec907f822254</v>
    <v>en-GB</v>
    <v>Map</v>
  </rv>
  <rv s="0">
    <v>536870912</v>
    <v>Nottingham</v>
    <v>fd1f499f-6103-6a87-cddd-2086efabf88f</v>
    <v>en-GB</v>
    <v>Map</v>
  </rv>
  <rv s="0">
    <v>536870912</v>
    <v>Scotland</v>
    <v>a0377d96-1a18-f843-65ad-adcbc4acdc69</v>
    <v>en-GB</v>
    <v>Map</v>
  </rv>
  <rv s="0">
    <v>536870912</v>
    <v>Nottinghamshire</v>
    <v>474ecb67-f819-ecef-a259-d24741044ebd</v>
    <v>en-GB</v>
    <v>Map</v>
  </rv>
  <rv s="0">
    <v>536870912</v>
    <v>Warwickshire</v>
    <v>f1173647-228f-1554-f0d8-39e325d478af</v>
    <v>en-GB</v>
    <v>Map</v>
  </rv>
  <rv s="0">
    <v>536870912</v>
    <v>Staffordshire</v>
    <v>8af62e75-98e5-6987-9d37-3061b70d0365</v>
    <v>en-GB</v>
    <v>Map</v>
  </rv>
  <rv s="0">
    <v>536870912</v>
    <v>Leicestershire</v>
    <v>4b2d786f-4d40-dd9a-2c29-31c1db8a6dd3</v>
    <v>en-GB</v>
    <v>Map</v>
  </rv>
  <rv s="0">
    <v>536870912</v>
    <v>Birmingham</v>
    <v>aaac0a14-911d-49c8-ac97-51d9f9100ad7</v>
    <v>en-GB</v>
    <v>Map</v>
  </rv>
  <rv s="0">
    <v>536870912</v>
    <v>Isles of Scilly</v>
    <v>cbd82567-ce28-513c-27d4-0452c5504f8b</v>
    <v>en-GB</v>
    <v>Map</v>
  </rv>
  <rv s="0">
    <v>536870912</v>
    <v>Oxfordshire</v>
    <v>1eda598d-62bc-9a62-5694-ee4472f8dcf5</v>
    <v>en-GB</v>
    <v>Map</v>
  </rv>
  <rv s="0">
    <v>536870912</v>
    <v>Bristol</v>
    <v>3a2b5f36-3aab-be4b-07ef-da515a676e60</v>
    <v>en-GB</v>
    <v>Map</v>
  </rv>
  <rv s="0">
    <v>536870912</v>
    <v>Northumberland</v>
    <v>86a3fee3-ba4c-f565-1ce4-449912831e53</v>
    <v>en-GB</v>
    <v>Map</v>
  </rv>
  <rv s="0">
    <v>536870912</v>
    <v>North Yorkshire</v>
    <v>fb1d8fdd-e4d5-f9a0-5f8c-1a03f3c7dad4</v>
    <v>en-GB</v>
    <v>Map</v>
  </rv>
  <rv s="0">
    <v>536870912</v>
    <v>East Sussex</v>
    <v>4a646622-0fa1-ec75-7268-69cce45dbd22</v>
    <v>en-GB</v>
    <v>Map</v>
  </rv>
  <rv s="0">
    <v>536870912</v>
    <v>Manchester</v>
    <v>35dddbb1-7bb3-4072-bfd5-f9e6570713b0</v>
    <v>en-GB</v>
    <v>Map</v>
  </rv>
  <rv s="0">
    <v>536870912</v>
    <v>Kent</v>
    <v>254f7086-5bb1-bdbf-8511-000e19ec575a</v>
    <v>en-GB</v>
    <v>Map</v>
  </rv>
  <rv s="0">
    <v>536870912</v>
    <v>Plymouth</v>
    <v>a3e2c1e6-1f92-c845-835d-3b78083edf28</v>
    <v>en-GB</v>
    <v>Map</v>
  </rv>
  <rv s="0">
    <v>536870912</v>
    <v>Sheffield</v>
    <v>41dbe832-f699-1fd7-e3b3-fbdcbd0167eb</v>
    <v>en-GB</v>
    <v>Map</v>
  </rv>
  <rv s="0">
    <v>536870912</v>
    <v>Kingston upon Hull</v>
    <v>c2d2e2f2-1587-bacd-a08a-017a722bf4f3</v>
    <v>en-GB</v>
    <v>Map</v>
  </rv>
  <rv s="0">
    <v>536870912</v>
    <v>Wolverhampton</v>
    <v>a4e729ad-f9ef-fbc2-5496-659379e68cc8</v>
    <v>en-GB</v>
    <v>Map</v>
  </rv>
  <rv s="0">
    <v>536870912</v>
    <v>Leicester</v>
    <v>88af3d23-ab3c-0468-1391-254a59804943</v>
    <v>en-GB</v>
    <v>Map</v>
  </rv>
  <rv s="0">
    <v>536870912</v>
    <v>Southampton</v>
    <v>c459ea11-71e5-3eae-977c-7a7ac56e054d</v>
    <v>en-GB</v>
    <v>Map</v>
  </rv>
  <rv s="0">
    <v>536870912</v>
    <v>Portsmouth</v>
    <v>337425e1-03f7-5cdc-cf78-5fb9639fcc32</v>
    <v>en-GB</v>
    <v>Map</v>
  </rv>
  <rv s="0">
    <v>536870912</v>
    <v>Reading</v>
    <v>281a95af-ccff-e632-516d-0f60d9882cfd</v>
    <v>en-GB</v>
    <v>Map</v>
  </rv>
  <rv s="0">
    <v>536870912</v>
    <v>Slough</v>
    <v>abfe29f2-7624-f440-e5c1-83347196e0b5</v>
    <v>en-GB</v>
    <v>Map</v>
  </rv>
  <rv s="0">
    <v>536870912</v>
    <v>Luton</v>
    <v>f00d5748-ef3f-0016-e774-64ef25551a8e</v>
    <v>en-GB</v>
    <v>Map</v>
  </rv>
  <rv s="0">
    <v>536870912</v>
    <v>London Borough of Richmond upon Thames</v>
    <v>330d56ea-b71b-f6c8-32ac-1c0f219611a4</v>
    <v>en-GB</v>
    <v>Map</v>
  </rv>
  <rv s="0">
    <v>536870912</v>
    <v>Peterborough</v>
    <v>62489622-eccf-7222-2856-6fff39f80df8</v>
    <v>en-GB</v>
    <v>Map</v>
  </rv>
  <rv s="0">
    <v>536870912</v>
    <v>Poole</v>
    <v>cc1b9a88-ec7e-57fa-3120-f797177b9ece</v>
    <v>en-GB</v>
    <v>Map</v>
  </rv>
  <rv s="0">
    <v>536870912</v>
    <v>Middlesbrough</v>
    <v>8b36aad5-43a9-73f0-207c-ad3765927011</v>
    <v>en-GB</v>
    <v>Map</v>
  </rv>
  <rv s="0">
    <v>536870912</v>
    <v>Hertfordshire</v>
    <v>070f9acc-7c22-7b21-6d9a-6d46b9aa876a</v>
    <v>en-GB</v>
    <v>Map</v>
  </rv>
  <rv s="0">
    <v>536870912</v>
    <v>Cambridgeshire</v>
    <v>bc02c14b-0035-fc4c-411f-168edbf62536</v>
    <v>en-GB</v>
    <v>Map</v>
  </rv>
  <rv s="0">
    <v>536870912</v>
    <v>Cardiff</v>
    <v>cdfaa940-1a8c-2522-2bf5-e09831059c8c</v>
    <v>en-GB</v>
    <v>Map</v>
  </rv>
  <rv s="0">
    <v>536870912</v>
    <v>West Berkshire</v>
    <v>24ab4528-6d4a-2364-a87a-5ce1744b2fd9</v>
    <v>en-GB</v>
    <v>Map</v>
  </rv>
  <rv s="0">
    <v>536870912</v>
    <v>Essex</v>
    <v>5c034f63-79be-7ab6-5ae6-b57d985a0e50</v>
    <v>en-GB</v>
    <v>Map</v>
  </rv>
  <rv s="0">
    <v>536870912</v>
    <v>Herefordshire</v>
    <v>f586d43a-d582-5c49-952e-b296001cdbe1</v>
    <v>en-GB</v>
    <v>Map</v>
  </rv>
  <rv s="0">
    <v>536870912</v>
    <v>Rutland</v>
    <v>39bb7744-90c5-e3fa-c4f7-7e89bf42f3a9</v>
    <v>en-GB</v>
    <v>Map</v>
  </rv>
  <rv s="0">
    <v>536870912</v>
    <v>Gwynedd</v>
    <v>4696c15a-9117-8701-d989-35980505aaba</v>
    <v>en-GB</v>
    <v>Map</v>
  </rv>
  <rv s="0">
    <v>536870912</v>
    <v>Edinburgh</v>
    <v>286af946-edea-5f33-df53-4164821c69da</v>
    <v>en-GB</v>
    <v>Map</v>
  </rv>
  <rv s="0">
    <v>536870912</v>
    <v>Northern Ireland</v>
    <v>e4b8bc44-385c-e87b-bb7d-b32328f53502</v>
    <v>en-GB</v>
    <v>Map</v>
  </rv>
  <rv s="0">
    <v>536870912</v>
    <v>Glasgow</v>
    <v>da2548ee-1b26-f939-06b4-2fae57e075e7</v>
    <v>en-GB</v>
    <v>Map</v>
  </rv>
  <rv s="0">
    <v>536870912</v>
    <v>Dundee</v>
    <v>26e6ea64-8197-1c44-a767-91d93e3e7e60</v>
    <v>en-GB</v>
    <v>Map</v>
  </rv>
  <rv s="0">
    <v>536870912</v>
    <v>Merthyr Tydfil</v>
    <v>067b1107-205b-0f64-187e-94c55c7c82a3</v>
    <v>en-GB</v>
    <v>Map</v>
  </rv>
  <rv s="0">
    <v>536870912</v>
    <v>Aberdeenshire</v>
    <v>b81a7eb6-c957-282c-9953-e0c1798b2eb6</v>
    <v>en-GB</v>
    <v>Map</v>
  </rv>
  <rv s="0">
    <v>536870912</v>
    <v>Belfast</v>
    <v>066bd7c2-af77-6ff0-3347-a0c3ed0a34f4</v>
    <v>en-GB</v>
    <v>Map</v>
  </rv>
  <rv s="0">
    <v>536870912</v>
    <v>Aberdeen</v>
    <v>e99cc5fc-69e5-a8a6-e0bb-bade5ce6f2e7</v>
    <v>en-GB</v>
    <v>Map</v>
  </rv>
  <rv s="0">
    <v>536870912</v>
    <v>West Lothian</v>
    <v>c3c56189-7090-194e-859f-d3fbb1781795</v>
    <v>en-GB</v>
    <v>Map</v>
  </rv>
  <rv s="0">
    <v>536870912</v>
    <v>Wrexham County Borough</v>
    <v>3c28a426-f3d1-4876-8049-750e76d56950</v>
    <v>en-GB</v>
    <v>Map</v>
  </rv>
  <rv s="0">
    <v>536870912</v>
    <v>Swansea</v>
    <v>ca0c6bd0-fcf5-4af4-618e-0dcc81e904f1</v>
    <v>en-GB</v>
    <v>Map</v>
  </rv>
  <rv s="0">
    <v>536870912</v>
    <v>Carmarthenshire</v>
    <v>1d3b8c9e-4e53-0b68-e9b4-8eddd9ffd0bc</v>
    <v>en-GB</v>
    <v>Map</v>
  </rv>
  <rv s="0">
    <v>536870912</v>
    <v>Flintshire</v>
    <v>154b78b5-e707-2db6-6f66-f6a938690d05</v>
    <v>en-GB</v>
    <v>Map</v>
  </rv>
  <rv s="0">
    <v>536870912</v>
    <v>Anglesey</v>
    <v>5207525e-c76a-4aec-33af-64384c5a6e0c</v>
    <v>en-GB</v>
    <v>Map</v>
  </rv>
  <rv s="0">
    <v>536870912</v>
    <v>Pembrokeshire</v>
    <v>4925e50e-8717-4f5f-2bfd-0bfe0c525744</v>
    <v>en-GB</v>
    <v>Map</v>
  </rv>
  <rv s="0">
    <v>536870912</v>
    <v>Powys</v>
    <v>5d9c5f00-6996-2dfd-d223-c8de2ee5eca5</v>
    <v>en-GB</v>
    <v>Map</v>
  </rv>
  <rv s="0">
    <v>536870912</v>
    <v>Midlothian</v>
    <v>9c548132-3419-5bc6-56ca-e1373dcfe23c</v>
    <v>en-GB</v>
    <v>Map</v>
  </rv>
  <rv s="0">
    <v>536870912</v>
    <v>Fife</v>
    <v>54a585e4-03af-cb0b-6dc0-35d8c58407f5</v>
    <v>en-GB</v>
    <v>Map</v>
  </rv>
  <rv s="0">
    <v>536870912</v>
    <v>East Lothian</v>
    <v>0fbdbf9c-787c-9fa5-4e8a-acfd4aaff046</v>
    <v>en-GB</v>
    <v>Map</v>
  </rv>
  <rv s="0">
    <v>536870912</v>
    <v>Dumfries and Galloway</v>
    <v>166abd1b-5753-3637-40eb-61aaf9738a0b</v>
    <v>en-GB</v>
    <v>Map</v>
  </rv>
  <rv s="0">
    <v>536870912</v>
    <v>Vale of Glamorgan</v>
    <v>94cdbb31-cc8e-b56e-7be6-54e42315cdbf</v>
    <v>en-GB</v>
    <v>Map</v>
  </rv>
  <rv s="0">
    <v>536870912</v>
    <v>City of Westminster</v>
    <v>63ce8294-e571-7282-75aa-205efd425a22</v>
    <v>en-GB</v>
    <v>Map</v>
  </rv>
  <rv s="0">
    <v>536870912</v>
    <v>Ceredigion</v>
    <v>7b38a8a3-f389-b19c-ae91-3d0d4ca3273b</v>
    <v>en-GB</v>
    <v>Map</v>
  </rv>
  <rv s="0">
    <v>536870912</v>
    <v>Trafford</v>
    <v>88dd02ca-7d6b-61b2-cbec-c00dae5fc203</v>
    <v>en-GB</v>
    <v>Map</v>
  </rv>
  <rv s="0">
    <v>536870912</v>
    <v>Southend-on-Sea</v>
    <v>7da0961f-3c65-9262-1fa3-d36b06c3c72c</v>
    <v>en-GB</v>
    <v>Map</v>
  </rv>
  <rv s="0">
    <v>536870912</v>
    <v>Orkney</v>
    <v>041d9a1c-58a6-ca2b-d149-0546a069bef4</v>
    <v>en-GB</v>
    <v>Map</v>
  </rv>
  <rv s="0">
    <v>536870912</v>
    <v>London Borough of Ealing</v>
    <v>77aca5f9-73b2-ac32-7da9-829325532b67</v>
    <v>en-GB</v>
    <v>Map</v>
  </rv>
  <rv s="0">
    <v>536870912</v>
    <v>London Borough of Camden</v>
    <v>427b51f0-5efc-c4ce-8007-d7db16792348</v>
    <v>en-GB</v>
    <v>Map</v>
  </rv>
  <rv s="0">
    <v>536870912</v>
    <v>Caerphilly County Borough</v>
    <v>6d897151-929a-c376-fe6c-d2ecbf6d0096</v>
    <v>en-GB</v>
    <v>Map</v>
  </rv>
  <rv s="0">
    <v>536870912</v>
    <v>City of Salford</v>
    <v>0d97218d-4223-6a9d-b74c-6f674d3df8ad</v>
    <v>en-GB</v>
    <v>Map</v>
  </rv>
  <rv s="0">
    <v>536870912</v>
    <v>Kirklees</v>
    <v>7fdc5fe4-3ddc-2d3f-0ba1-f1c30887c0c4</v>
    <v>en-GB</v>
    <v>Map</v>
  </rv>
  <rv s="0">
    <v>536870912</v>
    <v>Shetland</v>
    <v>69917bcc-72c4-054c-7b8b-59e2e6e6d054</v>
    <v>en-GB</v>
    <v>Map</v>
  </rv>
  <rv s="0">
    <v>536870912</v>
    <v>Royal Borough of Kensington and Chelsea</v>
    <v>c8bf96b0-bbe9-7147-b91d-e4f05eeeaa4c</v>
    <v>en-GB</v>
    <v>Map</v>
  </rv>
  <rv s="0">
    <v>536870912</v>
    <v>Sandwell</v>
    <v>7578a257-fbbb-a33c-1ae8-09f08c610682</v>
    <v>en-GB</v>
    <v>Map</v>
  </rv>
  <rv s="0">
    <v>536870912</v>
    <v>London Borough of Hackney</v>
    <v>76c7413e-fd75-9503-c844-f948f920bf50</v>
    <v>en-GB</v>
    <v>Map</v>
  </rv>
  <rv s="0">
    <v>536870912</v>
    <v>Royal Borough of Kingston upon Thames</v>
    <v>a7e7bf4f-aaf6-b38c-c6f1-3cece81a7c73</v>
    <v>en-GB</v>
    <v>Map</v>
  </rv>
  <rv s="0">
    <v>536870912</v>
    <v>Calderdale</v>
    <v>5924493e-e100-57de-1e2c-616b7f16fb75</v>
    <v>en-GB</v>
    <v>Map</v>
  </rv>
  <rv s="0">
    <v>536870912</v>
    <v>City of Bradford</v>
    <v>2fb792af-f38f-dc28-e920-682ea0f4dd1e</v>
    <v>en-GB</v>
    <v>Map</v>
  </rv>
  <rv s="0">
    <v>536870912</v>
    <v>London Borough of Newham</v>
    <v>6f66bcdb-5f1f-dc38-5bcd-6cf54619476b</v>
    <v>en-GB</v>
    <v>Map</v>
  </rv>
  <rv s="0">
    <v>536870912</v>
    <v>London Borough of Hammersmith and Fulham</v>
    <v>51eedf66-5a54-e2da-0786-904cd2ae5e01</v>
    <v>en-GB</v>
    <v>Map</v>
  </rv>
  <rv s="0">
    <v>536870912</v>
    <v>London Borough of Barking and Dagenham</v>
    <v>2c34f629-9085-faea-d501-72c74db2e99e</v>
    <v>en-GB</v>
    <v>Map</v>
  </rv>
  <rv s="0">
    <v>536870912</v>
    <v>London Borough of Croydon</v>
    <v>a9d4124c-1c82-3830-538a-6e730fd78ca2</v>
    <v>en-GB</v>
    <v>Map</v>
  </rv>
  <rv s="0">
    <v>536870912</v>
    <v>London Borough of Barnet</v>
    <v>1415c296-3271-e593-e550-6baa54d0be91</v>
    <v>en-GB</v>
    <v>Map</v>
  </rv>
  <rv s="0">
    <v>536870912</v>
    <v>Brighton and Hove</v>
    <v>297cae4c-741d-4091-0d17-7a0cb4dfc072</v>
    <v>en-GB</v>
    <v>Map</v>
  </rv>
  <rv s="0">
    <v>536870912</v>
    <v>London Borough of Redbridge</v>
    <v>25ce92d8-1ab5-04ff-f1eb-644dc5a2b326</v>
    <v>en-GB</v>
    <v>Map</v>
  </rv>
  <rv s="0">
    <v>536870912</v>
    <v>London Borough of Lambeth</v>
    <v>601c1f89-26d4-d4e8-5de2-23643ae45707</v>
    <v>en-GB</v>
    <v>Map</v>
  </rv>
  <rv s="0">
    <v>536870912</v>
    <v>London Borough of Enfield</v>
    <v>7c4de49e-3914-6146-453f-83960bc60157</v>
    <v>en-GB</v>
    <v>Map</v>
  </rv>
  <rv s="0">
    <v>536870912</v>
    <v>London Borough of Tower Hamlets</v>
    <v>b55b7e9b-cc89-eb16-0ee2-ef35b73001a0</v>
    <v>en-GB</v>
    <v>Map</v>
  </rv>
  <rv s="0">
    <v>536870912</v>
    <v>London Borough of Hillingdon</v>
    <v>adce1ab7-1b39-eea4-bbdd-78e6be2aaa2e</v>
    <v>en-GB</v>
    <v>Map</v>
  </rv>
  <rv s="0">
    <v>536870912</v>
    <v>London Borough of Brent</v>
    <v>87fcc92f-bb25-a5db-2917-0297b7cc7006</v>
    <v>en-GB</v>
    <v>Map</v>
  </rv>
  <rv s="0">
    <v>536870912</v>
    <v>Royal Borough of Greenwich</v>
    <v>69a30182-b3c0-474a-ff80-5e14c2516e95</v>
    <v>en-GB</v>
    <v>Map</v>
  </rv>
  <rv s="0">
    <v>536870912</v>
    <v>London Borough of Haringey</v>
    <v>942466ed-2570-73ac-4497-51fccd9667ac</v>
    <v>en-GB</v>
    <v>Map</v>
  </rv>
  <rv s="0">
    <v>536870912</v>
    <v>London Borough of Harrow</v>
    <v>0365592b-9270-e980-6139-aa2a4615cdb3</v>
    <v>en-GB</v>
    <v>Map</v>
  </rv>
  <rv s="0">
    <v>536870912</v>
    <v>London Borough of Waltham Forest</v>
    <v>7da02390-10d4-e36c-314f-ea514faa62e6</v>
    <v>en-GB</v>
    <v>Map</v>
  </rv>
  <rv s="0">
    <v>536870912</v>
    <v>London Borough of Hounslow</v>
    <v>a393f5fb-5fb3-19ff-52cf-267a06915d2f</v>
    <v>en-GB</v>
    <v>Map</v>
  </rv>
  <rv s="0">
    <v>536870912</v>
    <v>London Borough of Islington</v>
    <v>fffc642f-7ca5-55b3-c338-3cba1b932d55</v>
    <v>en-GB</v>
    <v>Map</v>
  </rv>
  <rv s="0">
    <v>536870912</v>
    <v>London Borough of Lewisham</v>
    <v>105eeb6e-338a-1994-b9e3-fa5b63eb79fd</v>
    <v>en-GB</v>
    <v>Map</v>
  </rv>
  <rv s="0">
    <v>536870912</v>
    <v>London Borough of Merton</v>
    <v>8e4ee7a7-2b94-344c-b740-c768658bb561</v>
    <v>en-GB</v>
    <v>Map</v>
  </rv>
  <rv s="0">
    <v>536870912</v>
    <v>Denbighshire</v>
    <v>d9b0986c-3824-a9c1-8788-f8c20d153ff5</v>
    <v>en-GB</v>
    <v>Map</v>
  </rv>
  <rv s="0">
    <v>536870912</v>
    <v>Monmouthshire</v>
    <v>81bc2422-be5c-4cd9-8614-3b9b226c7154</v>
    <v>en-GB</v>
    <v>Map</v>
  </rv>
  <rv s="0">
    <v>536870912</v>
    <v>London Borough of Wandsworth</v>
    <v>53aa5bbb-0a68-ec05-93a9-8fa5ae4c0035</v>
    <v>en-GB</v>
    <v>Map</v>
  </rv>
  <rv s="0">
    <v>536870912</v>
    <v>Torbay</v>
    <v>20f58686-8f00-84da-c4d0-61544ec1c0b3</v>
    <v>en-GB</v>
    <v>Map</v>
  </rv>
  <rv s="0">
    <v>536870912</v>
    <v>London Borough of Bromley</v>
    <v>5fbe984e-fdf2-c1a4-c9e0-c9ae9a1b1bfa</v>
    <v>en-GB</v>
    <v>Map</v>
  </rv>
  <rv s="0">
    <v>536870912</v>
    <v>London Borough of Southwark</v>
    <v>6ff0cd7b-6e7e-3ceb-7dad-6e0d2c1da0c3</v>
    <v>en-GB</v>
    <v>Map</v>
  </rv>
  <rv s="0">
    <v>536870912</v>
    <v>London Borough of Bexley</v>
    <v>37fc0a51-9932-09b4-2e6d-28e52a5abc35</v>
    <v>en-GB</v>
    <v>Map</v>
  </rv>
  <rv s="0">
    <v>536870912</v>
    <v>City of Wakefield</v>
    <v>fda1d0a0-3c3d-b6d2-4e49-217176b79940</v>
    <v>en-GB</v>
    <v>Map</v>
  </rv>
  <rv s="0">
    <v>536870912</v>
    <v>London Borough of Havering</v>
    <v>b14e42eb-0997-fe1c-4049-b8f437a869de</v>
    <v>en-GB</v>
    <v>Map</v>
  </rv>
  <rv s="0">
    <v>536870912</v>
    <v>North Somerset</v>
    <v>e3678f85-61b8-0810-8c53-e58bdb733dec</v>
    <v>en-GB</v>
    <v>Map</v>
  </rv>
  <rv s="0">
    <v>536870912</v>
    <v>London Borough of Sutton</v>
    <v>c1460554-820a-05a1-aac2-342042bac143</v>
    <v>en-GB</v>
    <v>Map</v>
  </rv>
  <rv s="0">
    <v>536870912</v>
    <v>North Tyneside</v>
    <v>36ca8e86-236d-306d-dfc1-621780c43474</v>
    <v>en-GB</v>
    <v>Map</v>
  </rv>
  <rv s="0">
    <v>536870912</v>
    <v>Borough of Halton</v>
    <v>aba165c7-6f69-a541-bd58-9952c853e295</v>
    <v>en-GB</v>
    <v>Map</v>
  </rv>
  <rv s="0">
    <v>536870912</v>
    <v>Medway</v>
    <v>3ade3b17-52c4-4392-59ad-874fde4b7de5</v>
    <v>en-GB</v>
    <v>Map</v>
  </rv>
  <rv s="0">
    <v>536870912</v>
    <v>Metropolitan Borough of Stockport</v>
    <v>a0ddc244-2a33-2738-d6e7-20cabc5c8b14</v>
    <v>en-GB</v>
    <v>Map</v>
  </rv>
  <rv s="0">
    <v>536870912</v>
    <v>Tameside</v>
    <v>4d704dba-d053-5372-9d1b-631f69f25246</v>
    <v>en-GB</v>
    <v>Map</v>
  </rv>
  <rv s="0">
    <v>536870912</v>
    <v>Bath and North East Somerset</v>
    <v>1ea8797d-5e0d-8b8d-d63e-c6cbbd49f9d2</v>
    <v>en-GB</v>
    <v>Map</v>
  </rv>
  <rv s="0">
    <v>536870912</v>
    <v>North East Lincolnshire</v>
    <v>87656709-108c-e3ba-f3f5-aac83525778e</v>
    <v>en-GB</v>
    <v>Map</v>
  </rv>
  <rv s="3">
    <v>20</v>
  </rv>
  <rv s="1">
    <fb>0.255052921600669</fb>
    <v>31</v>
  </rv>
  <rv s="3">
    <v>21</v>
  </rv>
  <rv s="1">
    <fb>0.30599999999999999</fb>
    <v>31</v>
  </rv>
  <rv s="1">
    <fb>3.8510000705719E-2</fb>
    <v>40</v>
  </rv>
  <rv s="1">
    <fb>55908316</fb>
    <v>32</v>
  </rv>
  <rv s="5">
    <v>#VALUE!</v>
    <v>en-GB</v>
    <v>b1a5155a-6bb2-4646-8f7c-3e6b3a53c831</v>
    <v>536870912</v>
    <v>1</v>
    <v>99</v>
    <v>24</v>
    <v>United Kingdom</v>
    <v>27</v>
    <v>28</v>
    <v>Map</v>
    <v>29</v>
    <v>100</v>
    <v>GB</v>
    <v>357</v>
    <v>358</v>
    <v>359</v>
    <v>360</v>
    <v>361</v>
    <v>362</v>
    <v>363</v>
    <v>364</v>
    <v>365</v>
    <v>GBP</v>
    <v>The United Kingdom of Great Britain and Northern Ireland, commonly known as the United Kingdom or Britain, is a sovereign country in north-western Europe, off the north-­western coast of the European mainland. The United Kingdom includes the island of Great Britain, the north-­eastern part of the island of Ireland, and many smaller islands within the British Isles. Northern Ireland shares a land border with the Republic of Ireland. Otherwise, the United Kingdom is surrounded by the Atlantic Ocean, with the North Sea to the east, the English Channel to the south and the Celtic Sea to the south-west, giving it the 12th-longest coastline in the world. The Irish Sea separates Great Britain and Ireland. The total area of the United Kingdom is 94,000 square miles.</v>
    <v>366</v>
    <v>367</v>
    <v>368</v>
    <v>369</v>
    <v>370</v>
    <v>371</v>
    <v>372</v>
    <v>373</v>
    <v>374</v>
    <v>375</v>
    <v>362</v>
    <v>380</v>
    <v>381</v>
    <v>382</v>
    <v>383</v>
    <v>384</v>
    <v>385</v>
    <v>United Kingdom</v>
    <v>God Save the Queen</v>
    <v>386</v>
    <v>United Kingdom of Great Britain and Northern Ireland</v>
    <v>387</v>
    <v>388</v>
    <v>389</v>
    <v>390</v>
    <v>391</v>
    <v>147</v>
    <v>148</v>
    <v>392</v>
    <v>393</v>
    <v>394</v>
    <v>395</v>
    <v>543</v>
    <v>544</v>
    <v>545</v>
    <v>546</v>
    <v>547</v>
    <v>United Kingdom</v>
    <v>548</v>
    <v>mdp/vdpid/242</v>
  </rv>
  <rv s="6">
    <v>en-US</v>
    <v>avyi4c</v>
    <v>268435456</v>
    <v>1</v>
    <v>Powered by Refinitiv</v>
    <v>41</v>
    <v>GBP/SGD</v>
    <v>42</v>
    <v>43</v>
    <v>Finance</v>
    <v>44</v>
    <v>1.8927</v>
    <v>1.708</v>
    <v>8.9999999999999998E-4</v>
    <v>4.8039999999999997E-4</v>
    <v>SGD</v>
    <v>GBP</v>
    <v>1.875</v>
    <v>Currency Pair</v>
    <v>44356.145011574074</v>
    <v>1.8731</v>
    <v>UK Pound Sterling/Singapore Dollar FX Cross Rate</v>
    <v>1.8734</v>
    <v>1.8733</v>
    <v>1.8742000000000001</v>
    <v>GBPSGD</v>
    <v>GBP/SGD</v>
  </rv>
  <rv s="7">
    <v>550</v>
  </rv>
  <rv s="0">
    <v>536870912</v>
    <v>Philippines</v>
    <v>fe47e182-43d6-4546-8bee-86609d6dd805</v>
    <v>en-GB</v>
    <v>Map</v>
  </rv>
  <rv s="1">
    <fb>0.41721165777911901</fb>
    <v>31</v>
  </rv>
  <rv s="1">
    <fb>300000</fb>
    <v>32</v>
  </rv>
  <rv s="1">
    <fb>153000</fb>
    <v>32</v>
  </rv>
  <rv s="1">
    <fb>20.545999999999999</fb>
    <v>33</v>
  </rv>
  <rv s="1">
    <fb>63</fb>
    <v>34</v>
  </rv>
  <rv s="0">
    <v>536870912</v>
    <v>Manila</v>
    <v>33b0f709-fe63-e51f-6893-aa4d29b074e5</v>
    <v>en-GB</v>
    <v>Map</v>
  </rv>
  <rv s="1">
    <fb>122287.11599999999</fb>
    <v>32</v>
  </rv>
  <rv s="1">
    <fb>129.61325724947901</fb>
    <v>35</v>
  </rv>
  <rv s="1">
    <fb>2.4802785871650902E-2</fb>
    <v>31</v>
  </rv>
  <rv s="1">
    <fb>696.34678005973694</fb>
    <v>32</v>
  </rv>
  <rv s="1">
    <fb>2.5760000000000001</fb>
    <v>33</v>
  </rv>
  <rv s="1">
    <fb>0.27769393299124701</fb>
    <v>31</v>
  </rv>
  <rv s="1">
    <fb>62.434896292186799</fb>
    <v>36</v>
  </rv>
  <rv s="1">
    <fb>0.86</fb>
    <v>37</v>
  </rv>
  <rv s="1">
    <fb>376795508679.67603</fb>
    <v>38</v>
  </rv>
  <rv s="1">
    <fb>1.0750976999999999</fb>
    <v>31</v>
  </rv>
  <rv s="1">
    <fb>0.35475459999999998</fb>
    <v>31</v>
  </rv>
  <rv s="2">
    <v>6</v>
    <v>29</v>
    <v>111</v>
    <v>0</v>
    <v>Image of Philippines</v>
  </rv>
  <rv s="1">
    <fb>22.5</fb>
    <v>36</v>
  </rv>
  <rv s="0">
    <v>805306368</v>
    <v>Rodrigo Duterte (President)</v>
    <v>ceca6398-e9f4-d624-33fd-46116a84ee43</v>
    <v>en-GB</v>
    <v>Generic</v>
  </rv>
  <rv s="0">
    <v>805306368</v>
    <v>Leni Robredo (Vice President)</v>
    <v>c0b96c6a-e6ea-42cd-b8fa-7b444dae6946</v>
    <v>en-GB</v>
    <v>Generic</v>
  </rv>
  <rv s="3">
    <v>22</v>
  </rv>
  <rv s="4">
    <v>https://www.bing.com/search?q=philippines&amp;form=skydnc</v>
    <v>Learn more on Bing</v>
  </rv>
  <rv s="1">
    <fb>71.094999999999999</fb>
    <v>36</v>
  </rv>
  <rv s="1">
    <fb>275302190000</fb>
    <v>38</v>
  </rv>
  <rv s="1">
    <fb>121</fb>
    <v>36</v>
  </rv>
  <rv s="1">
    <fb>1.1200000000000001</fb>
    <v>37</v>
  </rv>
  <rv s="3">
    <v>23</v>
  </rv>
  <rv s="1">
    <fb>0.53544594130000001</fb>
    <v>31</v>
  </rv>
  <rv s="1">
    <fb>0.60040000000000004</fb>
    <v>33</v>
  </rv>
  <rv s="1">
    <fb>108116615</fb>
    <v>32</v>
  </rv>
  <rv s="1">
    <fb>0.20699999999999999</fb>
    <v>31</v>
  </rv>
  <rv s="1">
    <fb>0.34799999999999998</fb>
    <v>31</v>
  </rv>
  <rv s="1">
    <fb>0.50900000000000001</fb>
    <v>31</v>
  </rv>
  <rv s="1">
    <fb>5.7000000000000002E-2</fb>
    <v>31</v>
  </rv>
  <rv s="1">
    <fb>9.3000000000000013E-2</fb>
    <v>31</v>
  </rv>
  <rv s="1">
    <fb>0.13500000000000001</fb>
    <v>31</v>
  </rv>
  <rv s="1">
    <fb>0.59620998382568402</fb>
    <v>31</v>
  </rv>
  <rv s="0">
    <v>536870912</v>
    <v>Tarlac</v>
    <v>7d56b130-da68-5615-69f0-dbad4c246cf7</v>
    <v>en-GB</v>
    <v>Map</v>
  </rv>
  <rv s="0">
    <v>536870912</v>
    <v>Pampanga</v>
    <v>a8f8bc92-c955-7450-e34a-846fb8708548</v>
    <v>en-GB</v>
    <v>Map</v>
  </rv>
  <rv s="0">
    <v>536870912</v>
    <v>Bulacan</v>
    <v>1976e607-d5fa-a209-60b5-a28c5ff0661d</v>
    <v>en-GB</v>
    <v>Map</v>
  </rv>
  <rv s="0">
    <v>536870912</v>
    <v>Metro Manila</v>
    <v>e5a6d40a-2913-d8a4-ff60-8a8e01d06a21</v>
    <v>en-GB</v>
    <v>Map</v>
  </rv>
  <rv s="0">
    <v>536870912</v>
    <v>Nueva Ecija</v>
    <v>e5430242-c181-bbba-a8d5-d8679420d015</v>
    <v>en-GB</v>
    <v>Map</v>
  </rv>
  <rv s="0">
    <v>536870912</v>
    <v>Laguna</v>
    <v>39988f56-c0ce-62ef-a19a-76f4048b73a9</v>
    <v>en-GB</v>
    <v>Map</v>
  </rv>
  <rv s="0">
    <v>536870912</v>
    <v>Batangas</v>
    <v>f77aee21-102e-f6f4-cd8b-795951928807</v>
    <v>en-GB</v>
    <v>Map</v>
  </rv>
  <rv s="0">
    <v>536870912</v>
    <v>Romblon</v>
    <v>6fd035a8-a5ba-d2f4-2122-9a82b636c180</v>
    <v>en-GB</v>
    <v>Map</v>
  </rv>
  <rv s="0">
    <v>536870912</v>
    <v>Iloilo</v>
    <v>068df4d2-959f-8164-d1fd-994cf0150d12</v>
    <v>en-GB</v>
    <v>Map</v>
  </rv>
  <rv s="0">
    <v>536870912</v>
    <v>Cebu</v>
    <v>6fe7c68a-9515-9e1b-6ef3-215c4102b56d</v>
    <v>en-GB</v>
    <v>Map</v>
  </rv>
  <rv s="0">
    <v>536870912</v>
    <v>Negros Occidental</v>
    <v>9124c64a-51fe-8970-69e4-28507542e45f</v>
    <v>en-GB</v>
    <v>Map</v>
  </rv>
  <rv s="0">
    <v>536870912</v>
    <v>Palawan</v>
    <v>30a179ba-83c7-ea59-aa9e-504c60d0306a</v>
    <v>en-GB</v>
    <v>Map</v>
  </rv>
  <rv s="0">
    <v>536870912</v>
    <v>Ilocos Sur</v>
    <v>dfcb7d07-6343-dfe7-6867-6d9744442cf9</v>
    <v>en-GB</v>
    <v>Map</v>
  </rv>
  <rv s="0">
    <v>536870912</v>
    <v>Camarines Norte</v>
    <v>b33c9c09-6fd7-50a1-6397-f936a8de41c4</v>
    <v>en-GB</v>
    <v>Map</v>
  </rv>
  <rv s="0">
    <v>536870912</v>
    <v>Quezon</v>
    <v>c6d788df-51c8-40e8-26ff-c472820ae720</v>
    <v>en-GB</v>
    <v>Map</v>
  </rv>
  <rv s="0">
    <v>536870912</v>
    <v>Rizal</v>
    <v>c6b093ee-2456-1b7e-2148-fb0567132780</v>
    <v>en-GB</v>
    <v>Map</v>
  </rv>
  <rv s="0">
    <v>536870912</v>
    <v>Masbate</v>
    <v>9744fce8-5c8f-d60c-a32f-ec4aa14e75b8</v>
    <v>en-GB</v>
    <v>Map</v>
  </rv>
  <rv s="0">
    <v>536870912</v>
    <v>Camiguin</v>
    <v>85693490-5005-8c40-0e9d-7d026eb11aa2</v>
    <v>en-GB</v>
    <v>Map</v>
  </rv>
  <rv s="0">
    <v>536870912</v>
    <v>Cagayan</v>
    <v>c27369d2-9ab0-e651-32e7-8f24d9a33023</v>
    <v>en-GB</v>
    <v>Map</v>
  </rv>
  <rv s="0">
    <v>536870912</v>
    <v>Leyte</v>
    <v>94c97459-3cfd-4ff5-f776-aa7ff55a7b2e</v>
    <v>en-GB</v>
    <v>Map</v>
  </rv>
  <rv s="0">
    <v>536870912</v>
    <v>Lanao del Sur</v>
    <v>df314c19-dc7f-1e63-74a0-b7719741fd70</v>
    <v>en-GB</v>
    <v>Map</v>
  </rv>
  <rv s="0">
    <v>536870912</v>
    <v>Sulu</v>
    <v>d02aa221-0c67-1aea-7acc-05c6541cd601</v>
    <v>en-GB</v>
    <v>Map</v>
  </rv>
  <rv s="0">
    <v>536870912</v>
    <v>Bataan</v>
    <v>4c22acf7-e90d-0daf-6d66-a63f5b2adcc3</v>
    <v>en-GB</v>
    <v>Map</v>
  </rv>
  <rv s="0">
    <v>536870912</v>
    <v>Batanes</v>
    <v>071321cd-cdf1-7bd5-4f51-445de02e23f7</v>
    <v>en-GB</v>
    <v>Map</v>
  </rv>
  <rv s="0">
    <v>536870912</v>
    <v>Maguindanao</v>
    <v>9f782a00-9905-f960-01c4-7d058bc367f4</v>
    <v>en-GB</v>
    <v>Map</v>
  </rv>
  <rv s="0">
    <v>536870912</v>
    <v>Mountain Province</v>
    <v>89e735d4-e9bb-0166-29a9-13f286192f70</v>
    <v>en-GB</v>
    <v>Map</v>
  </rv>
  <rv s="0">
    <v>536870912</v>
    <v>Samar</v>
    <v>a999fa36-ed0a-e034-2cf7-394ced58dc53</v>
    <v>en-GB</v>
    <v>Map</v>
  </rv>
  <rv s="0">
    <v>536870912</v>
    <v>Zambales</v>
    <v>fb1f00fe-78f7-2506-a3c2-02c4389d38d7</v>
    <v>en-GB</v>
    <v>Map</v>
  </rv>
  <rv s="0">
    <v>536870912</v>
    <v>Cavite</v>
    <v>59ab90bf-7ff8-a433-d78a-2803f3bcc64a</v>
    <v>en-GB</v>
    <v>Map</v>
  </rv>
  <rv s="0">
    <v>536870912</v>
    <v>Aurora</v>
    <v>5f3ee083-afad-a585-6329-0c636f8dad37</v>
    <v>en-GB</v>
    <v>Map</v>
  </rv>
  <rv s="0">
    <v>536870912</v>
    <v>Albay</v>
    <v>c1d3d13d-dbb2-d95b-879f-cff817b53ed6</v>
    <v>en-GB</v>
    <v>Map</v>
  </rv>
  <rv s="0">
    <v>536870912</v>
    <v>Ilocos Norte</v>
    <v>6253095b-6816-7985-36be-29d6991cc865</v>
    <v>en-GB</v>
    <v>Map</v>
  </rv>
  <rv s="0">
    <v>536870912</v>
    <v>Bohol</v>
    <v>d743e6b8-fccc-a061-aa7d-eeb4c19ca97b</v>
    <v>en-GB</v>
    <v>Map</v>
  </rv>
  <rv s="0">
    <v>536870912</v>
    <v>Ifugao</v>
    <v>5f55a8e3-593b-24a5-0201-b938d0055b2e</v>
    <v>en-GB</v>
    <v>Map</v>
  </rv>
  <rv s="0">
    <v>536870912</v>
    <v>Biliran</v>
    <v>b27be238-c9cf-4606-6161-ad4f13ca4d14</v>
    <v>en-GB</v>
    <v>Map</v>
  </rv>
  <rv s="0">
    <v>536870912</v>
    <v>Benguet</v>
    <v>7e8657a4-5792-db47-90c7-2604b9aca19f</v>
    <v>en-GB</v>
    <v>Map</v>
  </rv>
  <rv s="0">
    <v>536870912</v>
    <v>Marinduque</v>
    <v>672cc189-c047-228c-c256-62eb6c492774</v>
    <v>en-GB</v>
    <v>Map</v>
  </rv>
  <rv s="0">
    <v>536870912</v>
    <v>Basilan</v>
    <v>0a61fc3c-6d4a-cc85-4766-028d626149c5</v>
    <v>en-GB</v>
    <v>Map</v>
  </rv>
  <rv s="0">
    <v>536870912</v>
    <v>Isabela</v>
    <v>67ccbd18-7330-76f8-6466-fb01e3f27483</v>
    <v>en-GB</v>
    <v>Map</v>
  </rv>
  <rv s="0">
    <v>536870912</v>
    <v>Surigao del Sur</v>
    <v>afef8f50-4321-6f71-72c4-609b85910d0d</v>
    <v>en-GB</v>
    <v>Map</v>
  </rv>
  <rv s="0">
    <v>536870912</v>
    <v>Sarangani</v>
    <v>2b309045-7302-eaf1-5ee0-0241fcbda27b</v>
    <v>en-GB</v>
    <v>Map</v>
  </rv>
  <rv s="0">
    <v>536870912</v>
    <v>Antique</v>
    <v>f102470a-603c-aaf9-d204-cc1a44f4df22</v>
    <v>en-GB</v>
    <v>Map</v>
  </rv>
  <rv s="0">
    <v>536870912</v>
    <v>Pangasinan</v>
    <v>6c62aac0-e663-ab19-3a75-8e886d38c402</v>
    <v>en-GB</v>
    <v>Map</v>
  </rv>
  <rv s="0">
    <v>536870912</v>
    <v>Abra</v>
    <v>50f0fde3-c476-44d4-bd68-67ab7562f844</v>
    <v>en-GB</v>
    <v>Map</v>
  </rv>
  <rv s="0">
    <v>536870912</v>
    <v>Davao del Sur</v>
    <v>de4e39c5-f826-827f-b911-b4c5f32870c5</v>
    <v>en-GB</v>
    <v>Map</v>
  </rv>
  <rv s="0">
    <v>536870912</v>
    <v>Quirino</v>
    <v>fa177028-edac-8b0a-8574-7671754d7c78</v>
    <v>en-GB</v>
    <v>Map</v>
  </rv>
  <rv s="0">
    <v>536870912</v>
    <v>Occidental Mindoro</v>
    <v>e816710f-2355-5211-d5d9-367d58f6e5b6</v>
    <v>en-GB</v>
    <v>Map</v>
  </rv>
  <rv s="0">
    <v>536870912</v>
    <v>South Cotabato</v>
    <v>4f68ac36-80cf-cb03-603c-a39763ff6a63</v>
    <v>en-GB</v>
    <v>Map</v>
  </rv>
  <rv s="0">
    <v>536870912</v>
    <v>Negros Oriental</v>
    <v>a810cefa-ce8b-24f9-c464-8563570dddbc</v>
    <v>en-GB</v>
    <v>Map</v>
  </rv>
  <rv s="0">
    <v>536870912</v>
    <v>Surigao del Norte</v>
    <v>aacb94f4-c2a7-ec2a-c41b-42e726b63d27</v>
    <v>en-GB</v>
    <v>Map</v>
  </rv>
  <rv s="0">
    <v>536870912</v>
    <v>Apayao</v>
    <v>6f5b9897-70dc-fbb9-e495-e30a9cfe485f</v>
    <v>en-GB</v>
    <v>Map</v>
  </rv>
  <rv s="0">
    <v>536870912</v>
    <v>Bukidnon</v>
    <v>9dd337fa-fdf6-8f77-e9a1-56502827a36d</v>
    <v>en-GB</v>
    <v>Map</v>
  </rv>
  <rv s="0">
    <v>536870912</v>
    <v>Aklan</v>
    <v>d54082de-762e-326e-5462-2742153aee20</v>
    <v>en-GB</v>
    <v>Map</v>
  </rv>
  <rv s="0">
    <v>536870912</v>
    <v>Camarines Sur</v>
    <v>abce219f-6e2a-aed1-d1d8-0fa323980c58</v>
    <v>en-GB</v>
    <v>Map</v>
  </rv>
  <rv s="0">
    <v>536870912</v>
    <v>Catanduanes</v>
    <v>cfc6137e-c1cc-2517-cd64-ba3f16b85c49</v>
    <v>en-GB</v>
    <v>Map</v>
  </rv>
  <rv s="0">
    <v>536870912</v>
    <v>Guimaras</v>
    <v>a59f4672-beb3-c887-0fb6-90845a1319e7</v>
    <v>en-GB</v>
    <v>Map</v>
  </rv>
  <rv s="0">
    <v>536870912</v>
    <v>Tawi-Tawi</v>
    <v>d33f1020-0388-d1a6-7ca6-13d574e4c4a5</v>
    <v>en-GB</v>
    <v>Map</v>
  </rv>
  <rv s="0">
    <v>536870912</v>
    <v>Davao del Norte</v>
    <v>9d76fe2e-b56a-c6ae-77eb-ed4776895f94</v>
    <v>en-GB</v>
    <v>Map</v>
  </rv>
  <rv s="0">
    <v>536870912</v>
    <v>Nueva Vizcaya</v>
    <v>a87e8338-26e2-0bac-26b5-dad65ab7d8ed</v>
    <v>en-GB</v>
    <v>Map</v>
  </rv>
  <rv s="0">
    <v>536870912</v>
    <v>Zamboanga del Sur</v>
    <v>92ca3c72-1bd6-3d69-0bd9-79e64960f869</v>
    <v>en-GB</v>
    <v>Map</v>
  </rv>
  <rv s="0">
    <v>536870912</v>
    <v>Southern Leyte</v>
    <v>dd6f64d2-a3e2-20d3-5387-101d1fdf995f</v>
    <v>en-GB</v>
    <v>Map</v>
  </rv>
  <rv s="0">
    <v>536870912</v>
    <v>La Union</v>
    <v>28905729-f4e1-e195-8ee5-e9f0185f79bb</v>
    <v>en-GB</v>
    <v>Map</v>
  </rv>
  <rv s="0">
    <v>536870912</v>
    <v>Sorsogon</v>
    <v>79a4f911-e28a-11ea-948a-57262f5c5549</v>
    <v>en-GB</v>
    <v>Map</v>
  </rv>
  <rv s="0">
    <v>536870912</v>
    <v>Zamboanga del Norte</v>
    <v>f6631fe4-1dfe-211b-f938-1e3e637959c2</v>
    <v>en-GB</v>
    <v>Map</v>
  </rv>
  <rv s="0">
    <v>536870912</v>
    <v>Kalinga</v>
    <v>d47ead1a-b139-3463-9a65-e9641cb49af4</v>
    <v>en-GB</v>
    <v>Map</v>
  </rv>
  <rv s="0">
    <v>536870912</v>
    <v>Northern Samar</v>
    <v>fa937597-73a7-9eb4-b8bd-fe9dbb2f4884</v>
    <v>en-GB</v>
    <v>Map</v>
  </rv>
  <rv s="0">
    <v>536870912</v>
    <v>Zamboanga Sibugay</v>
    <v>d9bfe875-cd79-6d7c-905a-27a9a7127023</v>
    <v>en-GB</v>
    <v>Map</v>
  </rv>
  <rv s="0">
    <v>536870912</v>
    <v>Agusan del Sur</v>
    <v>77bdbc59-f779-0f45-fbd9-c9dbc43232df</v>
    <v>en-GB</v>
    <v>Map</v>
  </rv>
  <rv s="0">
    <v>536870912</v>
    <v>Eastern Samar</v>
    <v>a82cee3f-3388-8285-13c6-75e367e559db</v>
    <v>en-GB</v>
    <v>Map</v>
  </rv>
  <rv s="0">
    <v>536870912</v>
    <v>Cotabato</v>
    <v>bcd75c68-1bea-80bc-3ff6-de6b7165cba4</v>
    <v>en-GB</v>
    <v>Map</v>
  </rv>
  <rv s="0">
    <v>536870912</v>
    <v>Lanao del Norte</v>
    <v>53d4a5e4-9974-b921-1dec-e6ed33289570</v>
    <v>en-GB</v>
    <v>Map</v>
  </rv>
  <rv s="0">
    <v>536870912</v>
    <v>Sultan Kudarat</v>
    <v>77cd2cd4-8bb6-6a81-2115-03c609a1ad13</v>
    <v>en-GB</v>
    <v>Map</v>
  </rv>
  <rv s="0">
    <v>536870912</v>
    <v>Misamis Occidental</v>
    <v>90251788-07d6-5de9-5fb2-122d9011b748</v>
    <v>en-GB</v>
    <v>Map</v>
  </rv>
  <rv s="0">
    <v>536870912</v>
    <v>Oriental Mindoro</v>
    <v>786e1e1a-3f36-7f63-ad18-0ae7a605070d</v>
    <v>en-GB</v>
    <v>Map</v>
  </rv>
  <rv s="0">
    <v>536870912</v>
    <v>Davao Oriental</v>
    <v>23bee499-8a62-17a7-648d-7fab95372147</v>
    <v>en-GB</v>
    <v>Map</v>
  </rv>
  <rv s="0">
    <v>536870912</v>
    <v>Agusan del Norte</v>
    <v>1d396096-557b-6793-a2b7-a4c20b51f0d0</v>
    <v>en-GB</v>
    <v>Map</v>
  </rv>
  <rv s="0">
    <v>536870912</v>
    <v>Capiz</v>
    <v>d848e338-0672-ccc9-91b0-b6bda7212cdc</v>
    <v>en-GB</v>
    <v>Map</v>
  </rv>
  <rv s="0">
    <v>536870912</v>
    <v>Siquijor</v>
    <v>900cdb06-c146-8aad-588b-1abb2bc4954d</v>
    <v>en-GB</v>
    <v>Map</v>
  </rv>
  <rv s="0">
    <v>536870912</v>
    <v>Misamis Oriental</v>
    <v>53920b42-5d5d-510b-d05f-df387a2297e5</v>
    <v>en-GB</v>
    <v>Map</v>
  </rv>
  <rv s="0">
    <v>536870912</v>
    <v>Dinagat Islands</v>
    <v>a338095e-5e70-5d46-eeac-607cde0cf001</v>
    <v>en-GB</v>
    <v>Map</v>
  </rv>
  <rv s="0">
    <v>536870912</v>
    <v>Davao Occidental</v>
    <v>35aa0854-1795-47a4-abde-baaeb37be569</v>
    <v>en-GB</v>
    <v>Map</v>
  </rv>
  <rv s="3">
    <v>24</v>
  </rv>
  <rv s="1">
    <fb>0.14047533279066099</fb>
    <v>31</v>
  </rv>
  <rv s="3">
    <v>25</v>
  </rv>
  <rv s="1">
    <fb>0.43099999999999999</fb>
    <v>31</v>
  </rv>
  <rv s="1">
    <fb>2.1500000953674298E-2</fb>
    <v>40</v>
  </rv>
  <rv s="1">
    <fb>50975903</fb>
    <v>32</v>
  </rv>
  <rv s="5">
    <v>#VALUE!</v>
    <v>en-GB</v>
    <v>fe47e182-43d6-4546-8bee-86609d6dd805</v>
    <v>536870912</v>
    <v>1</v>
    <v>109</v>
    <v>24</v>
    <v>Philippines</v>
    <v>27</v>
    <v>28</v>
    <v>Map</v>
    <v>29</v>
    <v>110</v>
    <v>PH</v>
    <v>553</v>
    <v>554</v>
    <v>555</v>
    <v>556</v>
    <v>557</v>
    <v>558</v>
    <v>559</v>
    <v>560</v>
    <v>561</v>
    <v>PHP</v>
    <v>The Philippines, officially the Republic of the Philippines, is an archipelagic country in Southeast Asia. It is situated in the western Pacific Ocean, and consists of about 7,640 islands, that are broadly categorized under three main geographical divisions from north to south: Luzon, Visayas, and Mindanao. The Philippines is bounded by the South China Sea to the west, the Philippine Sea to the east, and the Celebes Sea to the southwest, and shares maritime borders with Taiwan to the north, Japan to the northeast, Palau to the east and southeast, Indonesia to the south, Malaysia and Brunei to the southwest, Vietnam to the west, and China to the northwest. The Philippines covers an area of 300,000 km² and, as of 2020, had a population of around 109 million people, making it the world's twelfth-most populous country. The Philippines is a multinational state, with diverse ethnicities and cultures throughout its islands. Manila is the nation's capital, while the largest city is Quezon City, both lying within the urban area of Metro Manila.</v>
    <v>562</v>
    <v>563</v>
    <v>564</v>
    <v>565</v>
    <v>566</v>
    <v>567</v>
    <v>568</v>
    <v>569</v>
    <v>570</v>
    <v>571</v>
    <v>558</v>
    <v>574</v>
    <v>575</v>
    <v>576</v>
    <v>577</v>
    <v>578</v>
    <v>579</v>
    <v>Philippines</v>
    <v>Lupang Hinirang</v>
    <v>580</v>
    <v>Republic of the Philippines</v>
    <v>581</v>
    <v>582</v>
    <v>583</v>
    <v>584</v>
    <v>585</v>
    <v>586</v>
    <v>210</v>
    <v>587</v>
    <v>588</v>
    <v>589</v>
    <v>590</v>
    <v>672</v>
    <v>673</v>
    <v>674</v>
    <v>675</v>
    <v>676</v>
    <v>Philippines</v>
    <v>677</v>
    <v>mdp/vdpid/201</v>
  </rv>
  <rv s="6">
    <v>en-US</v>
    <v>avppa2</v>
    <v>268435456</v>
    <v>1</v>
    <v>Powered by Refinitiv</v>
    <v>41</v>
    <v>PHP/SGD</v>
    <v>42</v>
    <v>43</v>
    <v>Finance</v>
    <v>44</v>
    <v>2.845E-2</v>
    <v>2.7009999999999999E-2</v>
    <v>4.8999999999999998E-5</v>
    <v>1.771E-3</v>
    <v>SGD</v>
    <v>PHP</v>
    <v>2.775E-2</v>
    <v>Currency Pair</v>
    <v>44356.144826388889</v>
    <v>2.7689999999999999E-2</v>
    <v>Philippine Peso/Singapore Dollar FX Cross Rate</v>
    <v>2.7730000000000001E-2</v>
    <v>2.768E-2</v>
    <v>2.7720000000000002E-2</v>
    <v>PHPSGD</v>
    <v>PHP/SGD</v>
  </rv>
  <rv s="7">
    <v>679</v>
  </rv>
  <rv s="0">
    <v>536870912</v>
    <v>Thailand</v>
    <v>588bd4b9-e440-b7eb-2cab-2a54c0458548</v>
    <v>en-GB</v>
    <v>Map</v>
  </rv>
  <rv s="1">
    <fb>0.43277417839456594</fb>
    <v>31</v>
  </rv>
  <rv s="1">
    <fb>513120</fb>
    <v>32</v>
  </rv>
  <rv s="1">
    <fb>455000</fb>
    <v>32</v>
  </rv>
  <rv s="1">
    <fb>10.343999999999999</fb>
    <v>33</v>
  </rv>
  <rv s="1">
    <fb>66</fb>
    <v>34</v>
  </rv>
  <rv s="0">
    <v>536870912</v>
    <v>Bangkok</v>
    <v>651e796f-a780-c032-4e9c-23e5f5fe5854</v>
    <v>en-GB</v>
    <v>Map</v>
  </rv>
  <rv s="1">
    <fb>283763.46100000001</fb>
    <v>32</v>
  </rv>
  <rv s="1">
    <fb>113.265649996346</fb>
    <v>35</v>
  </rv>
  <rv s="1">
    <fb>7.0672860131430508E-3</fb>
    <v>31</v>
  </rv>
  <rv s="1">
    <fb>2538.79638035364</fb>
    <v>32</v>
  </rv>
  <rv s="1">
    <fb>1.5249999999999999</fb>
    <v>33</v>
  </rv>
  <rv s="1">
    <fb>0.32157607312728798</fb>
    <v>31</v>
  </rv>
  <rv s="1">
    <fb>79.839022650550007</fb>
    <v>36</v>
  </rv>
  <rv s="1">
    <fb>543649976165.63</fb>
    <v>38</v>
  </rv>
  <rv s="1">
    <fb>0.99774360000000006</fb>
    <v>31</v>
  </rv>
  <rv s="1">
    <fb>0.49286810000000003</fb>
    <v>31</v>
  </rv>
  <rv s="2">
    <v>7</v>
    <v>29</v>
    <v>121</v>
    <v>0</v>
    <v>Image of Thailand</v>
  </rv>
  <rv s="1">
    <fb>7.8</fb>
    <v>36</v>
  </rv>
  <rv s="0">
    <v>805306368</v>
    <v>Vajiralongkorn (Monarch)</v>
    <v>838f8fba-7ce1-3cb6-caf3-eadcdd6d67c4</v>
    <v>en-GB</v>
    <v>Generic</v>
  </rv>
  <rv s="0">
    <v>805306368</v>
    <v>Prayut Chan-o-cha (Prime Minister)</v>
    <v>7622e75d-77cc-211a-d452-897ca707b336</v>
    <v>en-GB</v>
    <v>Generic</v>
  </rv>
  <rv s="0">
    <v>805306368</v>
    <v>Prayut Chan-o-cha (Minister)</v>
    <v>7622e75d-77cc-211a-d452-897ca707b336</v>
    <v>en-GB</v>
    <v>Generic</v>
  </rv>
  <rv s="0">
    <v>805306368</v>
    <v>Anupong Paochinda (Minister)</v>
    <v>2680e282-8deb-3f95-6f1f-a9b2b5ac7df5</v>
    <v>en-GB</v>
    <v>Generic</v>
  </rv>
  <rv s="0">
    <v>805306368</v>
    <v>Don Pramudwinai (Minister)</v>
    <v>78b6d92a-03e2-7a8a-abd6-691eb4cb41a5</v>
    <v>en-GB</v>
    <v>Generic</v>
  </rv>
  <rv s="0">
    <v>805306368</v>
    <v>Suriya Jungrungreangkit (Minister)</v>
    <v>d21c4678-3cc1-647a-2d1f-f647a8de0f18</v>
    <v>en-GB</v>
    <v>Generic</v>
  </rv>
  <rv s="3">
    <v>26</v>
  </rv>
  <rv s="4">
    <v>https://www.bing.com/search?q=thailand&amp;form=skydnc</v>
    <v>Learn more on Bing</v>
  </rv>
  <rv s="1">
    <fb>76.930999999999997</fb>
    <v>36</v>
  </rv>
  <rv s="1">
    <fb>569228320000</fb>
    <v>38</v>
  </rv>
  <rv s="1">
    <fb>37</fb>
    <v>36</v>
  </rv>
  <rv s="1">
    <fb>1.06</fb>
    <v>37</v>
  </rv>
  <rv s="3">
    <v>27</v>
  </rv>
  <rv s="1">
    <fb>0.11765354909999999</fb>
    <v>31</v>
  </rv>
  <rv s="1">
    <fb>0.80500000000000005</fb>
    <v>33</v>
  </rv>
  <rv s="1">
    <fb>69625582</fb>
    <v>32</v>
  </rv>
  <rv s="1">
    <fb>0.222</fb>
    <v>31</v>
  </rv>
  <rv s="1">
    <fb>0.28100000000000003</fb>
    <v>31</v>
  </rv>
  <rv s="1">
    <fb>0.44</fb>
    <v>31</v>
  </rv>
  <rv s="1">
    <fb>0.03</fb>
    <v>31</v>
  </rv>
  <rv s="1">
    <fb>7.2000000000000008E-2</fb>
    <v>31</v>
  </rv>
  <rv s="1">
    <fb>0.111</fb>
    <v>31</v>
  </rv>
  <rv s="1">
    <fb>0.155</fb>
    <v>31</v>
  </rv>
  <rv s="1">
    <fb>0.67325996398925791</fb>
    <v>31</v>
  </rv>
  <rv s="0">
    <v>536870912</v>
    <v>Nakhon Ratchasima Province</v>
    <v>7ce7803a-8dd0-1cde-8139-69ebef62dfa9</v>
    <v>en-GB</v>
    <v>Map</v>
  </rv>
  <rv s="0">
    <v>536870912</v>
    <v>Sing Buri Province</v>
    <v>6130b71a-93d5-381b-8994-6c662c98368f</v>
    <v>en-GB</v>
    <v>Map</v>
  </rv>
  <rv s="0">
    <v>536870912</v>
    <v>Pattaya</v>
    <v>78d752de-d5ce-4e2d-456b-95abd4379871</v>
    <v>en-GB</v>
    <v>Map</v>
  </rv>
  <rv s="0">
    <v>536870912</v>
    <v>Surin</v>
    <v>bcfc86b1-45fe-cae6-e72b-124be7c0ec4c</v>
    <v>en-GB</v>
    <v>Map</v>
  </rv>
  <rv s="0">
    <v>536870912</v>
    <v>Kalasin Province</v>
    <v>a8164165-4567-027a-d2ff-7bb056e870e8</v>
    <v>en-GB</v>
    <v>Map</v>
  </rv>
  <rv s="0">
    <v>536870912</v>
    <v>Phra Nakhon Si Ayutthaya Province</v>
    <v>578e9ec0-ecf1-f532-a8a1-18a5e9597ac1</v>
    <v>en-GB</v>
    <v>Map</v>
  </rv>
  <rv s="0">
    <v>536870912</v>
    <v>Chiang Mai Province</v>
    <v>ec21839a-048d-d7f2-68f9-73688da0c93d</v>
    <v>en-GB</v>
    <v>Map</v>
  </rv>
  <rv s="0">
    <v>536870912</v>
    <v>Phuket</v>
    <v>20be74cc-02fe-ce05-9e1e-640295edcc6f</v>
    <v>en-GB</v>
    <v>Map</v>
  </rv>
  <rv s="0">
    <v>536870912</v>
    <v>Samut Prakan Province</v>
    <v>4fca47ef-6db5-529c-d8cc-7233dae78274</v>
    <v>en-GB</v>
    <v>Map</v>
  </rv>
  <rv s="0">
    <v>536870912</v>
    <v>Chaiyaphum Province</v>
    <v>95db73b8-fa30-ad09-16f1-ce5277ecdcc7</v>
    <v>en-GB</v>
    <v>Map</v>
  </rv>
  <rv s="0">
    <v>536870912</v>
    <v>Phayao Province</v>
    <v>58fbb830-cd58-6852-5600-332a50023b7d</v>
    <v>en-GB</v>
    <v>Map</v>
  </rv>
  <rv s="0">
    <v>536870912</v>
    <v>Maha Sarakham Province</v>
    <v>ed8e7a88-5ca7-1c3c-095f-53c3c392ca36</v>
    <v>en-GB</v>
    <v>Map</v>
  </rv>
  <rv s="0">
    <v>536870912</v>
    <v>Chonburi Province</v>
    <v>51facd2e-84fc-996e-b57b-f36d2fd58e2f</v>
    <v>en-GB</v>
    <v>Map</v>
  </rv>
  <rv s="0">
    <v>536870912</v>
    <v>Loei Province</v>
    <v>e58d9875-c305-ee1f-05ef-1fdf818e52db</v>
    <v>en-GB</v>
    <v>Map</v>
  </rv>
  <rv s="0">
    <v>536870912</v>
    <v>Nonthaburi Province</v>
    <v>38a59c88-5429-4d6c-b137-db4bef343bae</v>
    <v>en-GB</v>
    <v>Map</v>
  </rv>
  <rv s="0">
    <v>536870912</v>
    <v>Saraburi Province</v>
    <v>fc7f8d5c-4c87-0cc6-10a0-48e2cb2cbf12</v>
    <v>en-GB</v>
    <v>Map</v>
  </rv>
  <rv s="0">
    <v>536870912</v>
    <v>Surat Thani Province</v>
    <v>e9f26cf5-c566-940d-61f7-5ce884ac07f3</v>
    <v>en-GB</v>
    <v>Map</v>
  </rv>
  <rv s="0">
    <v>536870912</v>
    <v>Sukhothai Province</v>
    <v>0a6402e0-1579-efc4-94ee-731b92d86d30</v>
    <v>en-GB</v>
    <v>Map</v>
  </rv>
  <rv s="0">
    <v>536870912</v>
    <v>Narathiwat Province</v>
    <v>920b263b-f271-938d-3446-028731fe8698</v>
    <v>en-GB</v>
    <v>Map</v>
  </rv>
  <rv s="0">
    <v>536870912</v>
    <v>Prachinburi Province</v>
    <v>014a3f63-d8f1-79a4-bc41-df01b86d6dc0</v>
    <v>en-GB</v>
    <v>Map</v>
  </rv>
  <rv s="0">
    <v>536870912</v>
    <v>Prachuap Khiri Khan Province</v>
    <v>f02632b4-4ca3-476d-b8ca-6d6eeca727b5</v>
    <v>en-GB</v>
    <v>Map</v>
  </rv>
  <rv s="0">
    <v>536870912</v>
    <v>Rayong Province</v>
    <v>e967d008-0fd5-839d-5f76-1239ea9a3d78</v>
    <v>en-GB</v>
    <v>Map</v>
  </rv>
  <rv s="0">
    <v>536870912</v>
    <v>Nakhon Nayok Province</v>
    <v>c79375e7-7f58-a4e5-8d37-2d475d0b3ade</v>
    <v>en-GB</v>
    <v>Map</v>
  </rv>
  <rv s="0">
    <v>536870912</v>
    <v>Phatthalung Province</v>
    <v>b443801d-894b-7e2b-fe41-182a7f70dabd</v>
    <v>en-GB</v>
    <v>Map</v>
  </rv>
  <rv s="0">
    <v>536870912</v>
    <v>Phetchaburi Province</v>
    <v>24d7d851-f000-498e-4b14-950395383091</v>
    <v>en-GB</v>
    <v>Map</v>
  </rv>
  <rv s="0">
    <v>536870912</v>
    <v>Nong Khai Province</v>
    <v>8c153c99-d1d5-8939-8e38-a4771dab046e</v>
    <v>en-GB</v>
    <v>Map</v>
  </rv>
  <rv s="0">
    <v>536870912</v>
    <v>Chachoengsao Province</v>
    <v>65d6edef-7834-54a9-e3dd-9960101fd398</v>
    <v>en-GB</v>
    <v>Map</v>
  </rv>
  <rv s="0">
    <v>536870912</v>
    <v>Khon Kaen Province</v>
    <v>e2d66065-6e59-a164-1343-8f12f640920b</v>
    <v>en-GB</v>
    <v>Map</v>
  </rv>
  <rv s="0">
    <v>536870912</v>
    <v>Phitsanulok Province</v>
    <v>99f5afe8-6528-aa85-8e99-e1d4b74eecb9</v>
    <v>en-GB</v>
    <v>Map</v>
  </rv>
  <rv s="0">
    <v>536870912</v>
    <v>Phang Nga Province</v>
    <v>e6a34126-0490-3447-3fb6-fdd8bf0b7afe</v>
    <v>en-GB</v>
    <v>Map</v>
  </rv>
  <rv s="0">
    <v>536870912</v>
    <v>Lampang Province</v>
    <v>ea3b275a-ae62-b46c-be21-4f66c21cf992</v>
    <v>en-GB</v>
    <v>Map</v>
  </rv>
  <rv s="0">
    <v>536870912</v>
    <v>Lamphun Province</v>
    <v>d37b9cb6-896b-23c8-17ae-5cd391241ada</v>
    <v>en-GB</v>
    <v>Map</v>
  </rv>
  <rv s="0">
    <v>536870912</v>
    <v>Nakhon Pathom Province</v>
    <v>e0d61a62-637b-f7a9-232d-82400c4c113b</v>
    <v>en-GB</v>
    <v>Map</v>
  </rv>
  <rv s="0">
    <v>536870912</v>
    <v>Chumphon Province</v>
    <v>f41d048f-3362-a5c8-e21b-0a64c129467e</v>
    <v>en-GB</v>
    <v>Map</v>
  </rv>
  <rv s="0">
    <v>536870912</v>
    <v>Udon Thani Province</v>
    <v>f98afd3c-06df-6455-f66f-2905e60856a2</v>
    <v>en-GB</v>
    <v>Map</v>
  </rv>
  <rv s="0">
    <v>536870912</v>
    <v>Uttaradit Province</v>
    <v>7afa7c5a-244d-03f0-7fc4-689f94788bdb</v>
    <v>en-GB</v>
    <v>Map</v>
  </rv>
  <rv s="0">
    <v>536870912</v>
    <v>Ubon Ratchathani Province</v>
    <v>9799346e-1d7b-454c-1596-f7cfec285b4f</v>
    <v>en-GB</v>
    <v>Map</v>
  </rv>
  <rv s="0">
    <v>536870912</v>
    <v>Sa Kaeo Province</v>
    <v>8822c0d1-49f1-ef37-2d74-4236bdae7db2</v>
    <v>en-GB</v>
    <v>Map</v>
  </rv>
  <rv s="0">
    <v>536870912</v>
    <v>Mae Hong Son Province</v>
    <v>220094e8-a250-8e9a-0ae9-19272c634f8b</v>
    <v>en-GB</v>
    <v>Map</v>
  </rv>
  <rv s="0">
    <v>536870912</v>
    <v>Chiang Rai Province</v>
    <v>773cf086-b01f-6641-3201-e1cb9355ccf9</v>
    <v>en-GB</v>
    <v>Map</v>
  </rv>
  <rv s="0">
    <v>536870912</v>
    <v>Pathum Thani Province</v>
    <v>a4631966-30fd-7622-899c-11205340b931</v>
    <v>en-GB</v>
    <v>Map</v>
  </rv>
  <rv s="0">
    <v>536870912</v>
    <v>Lopburi Province</v>
    <v>ceae64d6-76e9-5c56-fff7-00643272f340</v>
    <v>en-GB</v>
    <v>Map</v>
  </rv>
  <rv s="0">
    <v>536870912</v>
    <v>Uthai Thani Province</v>
    <v>b43cdfd9-80ff-1611-dc6e-e1252fbdc043</v>
    <v>en-GB</v>
    <v>Map</v>
  </rv>
  <rv s="0">
    <v>536870912</v>
    <v>Trat Province</v>
    <v>9a550417-ad10-bbc6-94db-81ea617698ac</v>
    <v>en-GB</v>
    <v>Map</v>
  </rv>
  <rv s="0">
    <v>536870912</v>
    <v>Phrae Province</v>
    <v>1c56ac66-0095-e89e-3205-89e7e4a9078c</v>
    <v>en-GB</v>
    <v>Map</v>
  </rv>
  <rv s="0">
    <v>536870912</v>
    <v>Nakhon Phanom Province</v>
    <v>b431d58e-d6c9-cf67-b191-473f5b3d1e8d</v>
    <v>en-GB</v>
    <v>Map</v>
  </rv>
  <rv s="0">
    <v>536870912</v>
    <v>Samut Songkhram Province</v>
    <v>6981b8c3-86e5-2eb3-b5b0-dca3df5b623d</v>
    <v>en-GB</v>
    <v>Map</v>
  </rv>
  <rv s="0">
    <v>536870912</v>
    <v>Phichit Province</v>
    <v>1df4e6ac-5ca1-5d05-bdf2-8f2a41a56be6</v>
    <v>en-GB</v>
    <v>Map</v>
  </rv>
  <rv s="0">
    <v>536870912</v>
    <v>Trang Province</v>
    <v>674457b4-7466-8dd8-d488-e2285a57a9a8</v>
    <v>en-GB</v>
    <v>Map</v>
  </rv>
  <rv s="0">
    <v>536870912</v>
    <v>Ang Thong Province</v>
    <v>3b530508-becc-3215-2c96-0b9e1b51f154</v>
    <v>en-GB</v>
    <v>Map</v>
  </rv>
  <rv s="0">
    <v>536870912</v>
    <v>Amnat Charoen Province</v>
    <v>a3e2255c-2d4c-6a39-ee14-acb4b82794da</v>
    <v>en-GB</v>
    <v>Map</v>
  </rv>
  <rv s="0">
    <v>536870912</v>
    <v>Mukdahan Province</v>
    <v>183e95bf-ae60-ffc8-cd43-8bd722ea5cad</v>
    <v>en-GB</v>
    <v>Map</v>
  </rv>
  <rv s="0">
    <v>536870912</v>
    <v>Songkhla Province</v>
    <v>0e2aa654-5226-84b6-807e-5786195cb93c</v>
    <v>en-GB</v>
    <v>Map</v>
  </rv>
  <rv s="0">
    <v>536870912</v>
    <v>Nakhon Si Thammarat Province</v>
    <v>bd31e26b-e9fb-5bfb-a24d-f97a2010852d</v>
    <v>en-GB</v>
    <v>Map</v>
  </rv>
  <rv s="0">
    <v>536870912</v>
    <v>Kamphaeng Phet Province</v>
    <v>b90a4bac-0833-3612-3e23-e8e94bc63851</v>
    <v>en-GB</v>
    <v>Map</v>
  </rv>
  <rv s="0">
    <v>536870912</v>
    <v>Krabi Province</v>
    <v>4cd9acbf-b437-bb27-ea9a-d3d74997c2ad</v>
    <v>en-GB</v>
    <v>Map</v>
  </rv>
  <rv s="0">
    <v>536870912</v>
    <v>Sisaket Province</v>
    <v>efff8ff8-a9e2-ff41-f162-5fe167bc2f68</v>
    <v>en-GB</v>
    <v>Map</v>
  </rv>
  <rv s="0">
    <v>536870912</v>
    <v>Roi Et Province</v>
    <v>85d9a1b9-72b1-8c2d-c8ae-a1a4ebeabff1</v>
    <v>en-GB</v>
    <v>Map</v>
  </rv>
  <rv s="0">
    <v>536870912</v>
    <v>Phetchabun Province</v>
    <v>96583f01-5ecf-e761-123a-bbd7a098a0af</v>
    <v>en-GB</v>
    <v>Map</v>
  </rv>
  <rv s="0">
    <v>536870912</v>
    <v>Satun Province</v>
    <v>514729e9-3ba9-13c3-90e2-2b9fc1e5562f</v>
    <v>en-GB</v>
    <v>Map</v>
  </rv>
  <rv s="0">
    <v>536870912</v>
    <v>Buriram Province</v>
    <v>286bf73d-595c-88a0-198d-d63ade1a7db0</v>
    <v>en-GB</v>
    <v>Map</v>
  </rv>
  <rv s="0">
    <v>536870912</v>
    <v>Kanchanaburi Province</v>
    <v>78829daf-4fa5-5c2d-9f10-4da1ebbb7b07</v>
    <v>en-GB</v>
    <v>Map</v>
  </rv>
  <rv s="0">
    <v>536870912</v>
    <v>Pattani Province</v>
    <v>19227138-e1ac-2ebe-45af-dec9111e9931</v>
    <v>en-GB</v>
    <v>Map</v>
  </rv>
  <rv s="0">
    <v>536870912</v>
    <v>Suphan Buri Province</v>
    <v>128d66e6-6c6c-7b30-fcd2-4a52c17fba2f</v>
    <v>en-GB</v>
    <v>Map</v>
  </rv>
  <rv s="0">
    <v>536870912</v>
    <v>Ranong Province</v>
    <v>fbdf6111-bf54-12d4-c6d1-95590b109932</v>
    <v>en-GB</v>
    <v>Map</v>
  </rv>
  <rv s="0">
    <v>536870912</v>
    <v>Chanthaburi Province</v>
    <v>7e320113-f3bc-a68a-e3e2-32a306211183</v>
    <v>en-GB</v>
    <v>Map</v>
  </rv>
  <rv s="0">
    <v>536870912</v>
    <v>Samut Sakhon Province</v>
    <v>e980786c-cdbc-c326-bccd-3ef129d64795</v>
    <v>en-GB</v>
    <v>Map</v>
  </rv>
  <rv s="0">
    <v>536870912</v>
    <v>Yala Province</v>
    <v>e1a596b2-50dd-aa13-03aa-db9fe1a505e3</v>
    <v>en-GB</v>
    <v>Map</v>
  </rv>
  <rv s="0">
    <v>536870912</v>
    <v>Sakon Nakhon Province</v>
    <v>643c56ea-b791-7a7b-1715-4fb369e4828b</v>
    <v>en-GB</v>
    <v>Map</v>
  </rv>
  <rv s="0">
    <v>536870912</v>
    <v>Nan Province</v>
    <v>c2231910-8e0c-3f11-ee64-9812ca91010f</v>
    <v>en-GB</v>
    <v>Map</v>
  </rv>
  <rv s="0">
    <v>536870912</v>
    <v>Nong Bua Lamphu Province</v>
    <v>f506fb74-64c3-e442-eb93-23f39d769940</v>
    <v>en-GB</v>
    <v>Map</v>
  </rv>
  <rv s="0">
    <v>536870912</v>
    <v>Chainat Province</v>
    <v>2ce7514f-a8ea-6fa8-4dd1-da4225bd72b8</v>
    <v>en-GB</v>
    <v>Map</v>
  </rv>
  <rv s="0">
    <v>536870912</v>
    <v>Nakhon Sawan Province</v>
    <v>8d29908e-40c6-7b33-244d-14818fc17c76</v>
    <v>en-GB</v>
    <v>Map</v>
  </rv>
  <rv s="0">
    <v>536870912</v>
    <v>Tak Province</v>
    <v>243b2c7d-8668-e11f-6500-7bf8544652a1</v>
    <v>en-GB</v>
    <v>Map</v>
  </rv>
  <rv s="0">
    <v>536870912</v>
    <v>Yasothon Province</v>
    <v>b691e27e-bdb8-cf25-87ee-76541e6804e2</v>
    <v>en-GB</v>
    <v>Map</v>
  </rv>
  <rv s="0">
    <v>536870912</v>
    <v>Ratchaburi Province</v>
    <v>9106e633-4925-4a04-b58f-0ed8024ae947</v>
    <v>en-GB</v>
    <v>Map</v>
  </rv>
  <rv s="0">
    <v>536870912</v>
    <v>Bueng Kan Province</v>
    <v>a4160bb6-525a-4048-8b1c-f189304eeb89</v>
    <v>en-GB</v>
    <v>Map</v>
  </rv>
  <rv s="3">
    <v>28</v>
  </rv>
  <rv s="1">
    <fb>0.14927746956191601</fb>
    <v>31</v>
  </rv>
  <rv s="3">
    <v>29</v>
  </rv>
  <rv s="1">
    <fb>0.29499999999999998</fb>
    <v>31</v>
  </rv>
  <rv s="1">
    <fb>7.5400000810623199E-3</fb>
    <v>40</v>
  </rv>
  <rv s="1">
    <fb>35294600</fb>
    <v>32</v>
  </rv>
  <rv s="5">
    <v>#VALUE!</v>
    <v>en-GB</v>
    <v>588bd4b9-e440-b7eb-2cab-2a54c0458548</v>
    <v>536870912</v>
    <v>1</v>
    <v>119</v>
    <v>24</v>
    <v>Thailand</v>
    <v>27</v>
    <v>28</v>
    <v>Map</v>
    <v>29</v>
    <v>120</v>
    <v>TH</v>
    <v>682</v>
    <v>683</v>
    <v>684</v>
    <v>685</v>
    <v>686</v>
    <v>687</v>
    <v>688</v>
    <v>689</v>
    <v>690</v>
    <v>THB</v>
    <v>Thailand, formerly known as Siam, and officially the Kingdom of Thailand, is a country in Southeast Asia. It is located at the centre of the Indochinese Peninsula, spanning 513,120 square kilometres, with a population of over 66 million people. Thailand is bordered to the north by Myanmar and Laos, to the east by Laos and Cambodia, to the south by the Gulf of Thailand and Malaysia, and to the west by the Andaman Sea and the southern extremity of Myanmar. It also shares maritime borders with Vietnam in the Gulf of Thailand to the southeast, and Indonesia and India on the Andaman Sea to the southwest. Bangkok is the nation's capital and largest city. Nominally, Thailand is a constitutional monarchy and parliamentary democracy; however, in recent history, its government has experienced multiple coups and periods of military dictatorships.</v>
    <v>691</v>
    <v>692</v>
    <v>693</v>
    <v>694</v>
    <v>14</v>
    <v>695</v>
    <v>696</v>
    <v>697</v>
    <v>698</v>
    <v>699</v>
    <v>687</v>
    <v>706</v>
    <v>707</v>
    <v>708</v>
    <v>709</v>
    <v>710</v>
    <v>711</v>
    <v>Thailand</v>
    <v>Thai National Anthem</v>
    <v>712</v>
    <v>Kingdom of Thailand</v>
    <v>713</v>
    <v>714</v>
    <v>715</v>
    <v>716</v>
    <v>717</v>
    <v>718</v>
    <v>719</v>
    <v>720</v>
    <v>721</v>
    <v>722</v>
    <v>723</v>
    <v>801</v>
    <v>802</v>
    <v>803</v>
    <v>804</v>
    <v>805</v>
    <v>Thailand</v>
    <v>806</v>
    <v>mdp/vdpid/227</v>
  </rv>
  <rv s="6">
    <v>en-US</v>
    <v>avw37w</v>
    <v>268435456</v>
    <v>1</v>
    <v>Powered by Refinitiv</v>
    <v>41</v>
    <v>THB/SGD</v>
    <v>42</v>
    <v>43</v>
    <v>Finance</v>
    <v>44</v>
    <v>4.5229999999999999E-2</v>
    <v>4.206E-2</v>
    <v>8.2000000000000001E-5</v>
    <v>1.934E-3</v>
    <v>SGD</v>
    <v>THB</v>
    <v>4.249E-2</v>
    <v>Currency Pair</v>
    <v>44356.144953703704</v>
    <v>4.2430000000000002E-2</v>
    <v>Thai Baht/Singapore Dollar FX Cross Rate</v>
    <v>4.2389999999999997E-2</v>
    <v>4.2389999999999997E-2</v>
    <v>4.2470000000000001E-2</v>
    <v>THBSGD</v>
    <v>THB/SGD</v>
  </rv>
  <rv s="7">
    <v>808</v>
  </rv>
  <rv s="0">
    <v>536870912</v>
    <v>Singapore</v>
    <v>f5ffb882-7230-f3fe-7141-cde5f4b5ed1a</v>
    <v>en-GB</v>
    <v>Map</v>
  </rv>
  <rv s="1">
    <fb>9.3088859241440211E-3</fb>
    <v>31</v>
  </rv>
  <rv s="1">
    <fb>716.1</fb>
    <v>32</v>
  </rv>
  <rv s="1">
    <fb>81000</fb>
    <v>32</v>
  </rv>
  <rv s="1">
    <fb>8.8000000000000007</fb>
    <v>33</v>
  </rv>
  <rv s="1">
    <fb>65</fb>
    <v>34</v>
  </rv>
  <rv s="1">
    <fb>37535.411999999997</fb>
    <v>32</v>
  </rv>
  <rv s="1">
    <fb>114.40578588194499</fb>
    <v>35</v>
  </rv>
  <rv s="1">
    <fb>5.6526056878035804E-3</fb>
    <v>31</v>
  </rv>
  <rv s="1">
    <fb>8844.6875930120095</fb>
    <v>32</v>
  </rv>
  <rv s="1">
    <fb>1.1399999999999999</fb>
    <v>33</v>
  </rv>
  <rv s="1">
    <fb>0.23060648842866199</fb>
    <v>31</v>
  </rv>
  <rv s="1">
    <fb>90.578873580503199</fb>
    <v>36</v>
  </rv>
  <rv s="1">
    <fb>1.25</fb>
    <v>37</v>
  </rv>
  <rv s="1">
    <fb>372062527488.638</fb>
    <v>38</v>
  </rv>
  <rv s="1">
    <fb>1.0062694999999999</fb>
    <v>31</v>
  </rv>
  <rv s="1">
    <fb>0.8479291000000001</fb>
    <v>31</v>
  </rv>
  <rv s="2">
    <v>8</v>
    <v>29</v>
    <v>132</v>
    <v>0</v>
    <v>Image of Singapore</v>
  </rv>
  <rv s="1">
    <fb>2.2999999999999998</fb>
    <v>36</v>
  </rv>
  <rv s="0">
    <v>805306368</v>
    <v>Lee Hsien Loong (Prime Minister)</v>
    <v>a1036a81-858a-b9b5-05e7-b0d5b1f8d37d</v>
    <v>en-GB</v>
    <v>Generic</v>
  </rv>
  <rv s="0">
    <v>805306368</v>
    <v>Ong Ye Kung (Minister)</v>
    <v>140fbd9e-a9e9-efc5-0504-67aa66a531b2</v>
    <v>en-GB</v>
    <v>Generic</v>
  </rv>
  <rv s="3">
    <v>30</v>
  </rv>
  <rv s="4">
    <v>https://www.bing.com/search?q=singapore&amp;form=skydnc</v>
    <v>Learn more on Bing</v>
  </rv>
  <rv s="1">
    <fb>83.146341463414601</fb>
    <v>36</v>
  </rv>
  <rv s="1">
    <fb>697271330000</fb>
    <v>38</v>
  </rv>
  <rv s="1">
    <fb>8</fb>
    <v>36</v>
  </rv>
  <rv s="3">
    <v>31</v>
  </rv>
  <rv s="1">
    <fb>0.367371636</fb>
    <v>31</v>
  </rv>
  <rv s="1">
    <fb>2.2936000000000001</fb>
    <v>33</v>
  </rv>
  <rv s="1">
    <fb>5703569</fb>
    <v>32</v>
  </rv>
  <rv s="1">
    <fb>0.70538002014160195</fb>
    <v>31</v>
  </rv>
  <rv s="3">
    <v>32</v>
  </rv>
  <rv s="1">
    <fb>0.131417170586072</fb>
    <v>31</v>
  </rv>
  <rv s="3">
    <v>33</v>
  </rv>
  <rv s="1">
    <fb>0.21</fb>
    <v>31</v>
  </rv>
  <rv s="1">
    <fb>4.1090002059936494E-2</fb>
    <v>40</v>
  </rv>
  <rv s="10">
    <v>#VALUE!</v>
    <v>en-GB</v>
    <v>f5ffb882-7230-f3fe-7141-cde5f4b5ed1a</v>
    <v>536870912</v>
    <v>1</v>
    <v>129</v>
    <v>130</v>
    <v>Singapore</v>
    <v>27</v>
    <v>28</v>
    <v>Map</v>
    <v>29</v>
    <v>131</v>
    <v>SG</v>
    <v>811</v>
    <v>812</v>
    <v>813</v>
    <v>814</v>
    <v>815</v>
    <v>Singapore</v>
    <v>816</v>
    <v>817</v>
    <v>818</v>
    <v>SGD</v>
    <v>Singapore, officially the Republic of Singapore, is a sovereign island city-state in maritime Southeast Asia. It lies about one degree of latitude north of the equator, off the southern tip of the Malay Peninsula, bordering the Straits of Malacca to the west, the Riau Islands to the south, and the South China Sea to the east. The country's territory is composed of one main island, 63 satellite islands and islets, and one outlying islet, the combined area of which has increased by 25% since the country's independence as a result of extensive land reclamation projects. It has the second greatest population density in the world. The country has almost 5.7 million residents, 61% of whom are Singaporean citizens. There are four official languages of Singapore: English, Malay, Chinese and Tamil. English is the lingua franca. Multiracialism is enshrined in the constitution, and continues to shape national policies in education, housing, and politics.</v>
    <v>819</v>
    <v>820</v>
    <v>821</v>
    <v>822</v>
    <v>823</v>
    <v>824</v>
    <v>825</v>
    <v>826</v>
    <v>827</v>
    <v>828</v>
    <v>831</v>
    <v>832</v>
    <v>833</v>
    <v>834</v>
    <v>835</v>
    <v>Singapore</v>
    <v>Majulah Singapura</v>
    <v>836</v>
    <v>Republic of Singapore</v>
    <v>837</v>
    <v>838</v>
    <v>839</v>
    <v>840</v>
    <v>841</v>
    <v>842</v>
    <v>843</v>
    <v>844</v>
    <v>845</v>
    <v>Singapore</v>
    <v>839</v>
    <v>mdp/vdpid/215</v>
  </rv>
  <rv s="0">
    <v>536870912</v>
    <v>China</v>
    <v>5fcc3d97-0cf2-94e5-6dad-cd70e387bd69</v>
    <v>en-GB</v>
    <v>Map</v>
  </rv>
  <rv s="1">
    <fb>0.56212313103349798</fb>
    <v>31</v>
  </rv>
  <rv s="1">
    <fb>9596960</fb>
    <v>32</v>
  </rv>
  <rv s="1">
    <fb>2695000</fb>
    <v>32</v>
  </rv>
  <rv s="1">
    <fb>10.9</fb>
    <v>33</v>
  </rv>
  <rv s="1">
    <fb>86</fb>
    <v>34</v>
  </rv>
  <rv s="0">
    <v>536870912</v>
    <v>Beijing</v>
    <v>e43bc499-902a-5deb-aced-aa4a247e6822</v>
    <v>en-GB</v>
    <v>Map</v>
  </rv>
  <rv s="1">
    <fb>9893037.9519999996</fb>
    <v>32</v>
  </rv>
  <rv s="1">
    <fb>125.083155733959</fb>
    <v>35</v>
  </rv>
  <rv s="1">
    <fb>2.8992357992594101E-2</fb>
    <v>31</v>
  </rv>
  <rv s="1">
    <fb>3927.0444999890101</fb>
    <v>32</v>
  </rv>
  <rv s="1">
    <fb>1.69</fb>
    <v>33</v>
  </rv>
  <rv s="1">
    <fb>0.22353941805732902</fb>
    <v>31</v>
  </rv>
  <rv s="1">
    <fb>87.670430768185398</fb>
    <v>36</v>
  </rv>
  <rv s="1">
    <fb>0.96</fb>
    <v>37</v>
  </rv>
  <rv s="1">
    <fb>14342902842915.9</fb>
    <v>38</v>
  </rv>
  <rv s="1">
    <fb>1.0022275</fb>
    <v>31</v>
  </rv>
  <rv s="1">
    <fb>0.50604439999999995</fb>
    <v>31</v>
  </rv>
  <rv s="2">
    <v>9</v>
    <v>29</v>
    <v>143</v>
    <v>0</v>
    <v>Image of China</v>
  </rv>
  <rv s="1">
    <fb>7.4</fb>
    <v>36</v>
  </rv>
  <rv s="0">
    <v>536870912</v>
    <v>Shanghai</v>
    <v>29ece984-463e-6074-60e1-83f8c012ef70</v>
    <v>en-GB</v>
    <v>Map</v>
  </rv>
  <rv s="0">
    <v>805306368</v>
    <v>Xi Jinping (President)</v>
    <v>cd954b68-481c-b388-8b3d-6c0081dc9adf</v>
    <v>en-GB</v>
    <v>Generic</v>
  </rv>
  <rv s="0">
    <v>805306368</v>
    <v>Li Keqiang (Premier)</v>
    <v>f1d08653-9327-ff05-215a-b26f0a4ad81c</v>
    <v>en-GB</v>
    <v>Generic</v>
  </rv>
  <rv s="3">
    <v>34</v>
  </rv>
  <rv s="4">
    <v>https://www.bing.com/search?q=china&amp;form=skydnc</v>
    <v>Learn more on Bing</v>
  </rv>
  <rv s="1">
    <fb>76.959999999999994</fb>
    <v>36</v>
  </rv>
  <rv s="1">
    <fb>8515504380000</fb>
    <v>38</v>
  </rv>
  <rv s="1">
    <fb>0.87</fb>
    <v>37</v>
  </rv>
  <rv s="3">
    <v>35</v>
  </rv>
  <rv s="1">
    <fb>0.32386296240000001</fb>
    <v>31</v>
  </rv>
  <rv s="1">
    <fb>1.9798</fb>
    <v>33</v>
  </rv>
  <rv s="1">
    <fb>1397715000</fb>
    <v>32</v>
  </rv>
  <rv s="1">
    <fb>0.29299999999999998</fb>
    <v>31</v>
  </rv>
  <rv s="1">
    <fb>0.45299999999999996</fb>
    <v>31</v>
  </rv>
  <rv s="1">
    <fb>2.7000000000000003E-2</fb>
    <v>31</v>
  </rv>
  <rv s="1">
    <fb>6.5000000000000002E-2</fb>
    <v>31</v>
  </rv>
  <rv s="1">
    <fb>0.107</fb>
    <v>31</v>
  </rv>
  <rv s="1">
    <fb>0.67986999511718804</fb>
    <v>31</v>
  </rv>
  <rv s="0">
    <v>536870912</v>
    <v>Macau</v>
    <v>d7203e23-120a-c7fd-485a-3fbcf88a3288</v>
    <v>en-GB</v>
    <v>Map</v>
  </rv>
  <rv s="0">
    <v>536870912</v>
    <v>Sichuan</v>
    <v>49bf1471-e0d6-011f-bb5b-edd67fea0a6f</v>
    <v>en-GB</v>
    <v>Map</v>
  </rv>
  <rv s="0">
    <v>536870912</v>
    <v>Chongqing</v>
    <v>69bf0da4-4c0f-d795-e3d4-f2087fc9101e</v>
    <v>en-GB</v>
    <v>Map</v>
  </rv>
  <rv s="0">
    <v>536870912</v>
    <v>Hunan</v>
    <v>84852e67-826c-7232-5aec-3bd5a776c21b</v>
    <v>en-GB</v>
    <v>Map</v>
  </rv>
  <rv s="0">
    <v>536870912</v>
    <v>Fujian</v>
    <v>f7e228b4-20f3-6c06-f9d2-0e381cb472db</v>
    <v>en-GB</v>
    <v>Map</v>
  </rv>
  <rv s="0">
    <v>536870912</v>
    <v>Guangdong</v>
    <v>533d187e-5296-4200-eed8-55f3257c948f</v>
    <v>en-GB</v>
    <v>Map</v>
  </rv>
  <rv s="0">
    <v>536870912</v>
    <v>Tianjin</v>
    <v>45fdbb85-8f7d-7f8b-dc59-7cb26189ef7d</v>
    <v>en-GB</v>
    <v>Map</v>
  </rv>
  <rv s="0">
    <v>536870912</v>
    <v>Yunnan</v>
    <v>62345ab8-b0e6-d4c5-87b4-0e7a5b39c7dc</v>
    <v>en-GB</v>
    <v>Map</v>
  </rv>
  <rv s="0">
    <v>536870912</v>
    <v>Jiangsu</v>
    <v>c979b1db-2e4e-7b88-511f-1cd5a525053c</v>
    <v>en-GB</v>
    <v>Map</v>
  </rv>
  <rv s="0">
    <v>536870912</v>
    <v>Shaanxi</v>
    <v>2c52cd90-c486-5a30-6fdf-b777d9331efd</v>
    <v>en-GB</v>
    <v>Map</v>
  </rv>
  <rv s="0">
    <v>536870912</v>
    <v>Heilongjiang</v>
    <v>a7c2e681-f80e-cae6-2ae7-fccb47f12008</v>
    <v>en-GB</v>
    <v>Map</v>
  </rv>
  <rv s="0">
    <v>536870912</v>
    <v>Guangxi</v>
    <v>b2e2f034-494c-f814-7555-fa5d56071d6f</v>
    <v>en-GB</v>
    <v>Map</v>
  </rv>
  <rv s="0">
    <v>536870912</v>
    <v>Xinjiang</v>
    <v>8e7874f1-5a52-a168-5737-ced81488dfca</v>
    <v>en-GB</v>
    <v>Map</v>
  </rv>
  <rv s="0">
    <v>536870912</v>
    <v>Shandong</v>
    <v>311c787d-5f0d-3960-4647-a0b3ee6bb863</v>
    <v>en-GB</v>
    <v>Map</v>
  </rv>
  <rv s="0">
    <v>536870912</v>
    <v>Hubei</v>
    <v>03c5c53c-6c11-7737-b58a-31b9b73bce20</v>
    <v>en-GB</v>
    <v>Map</v>
  </rv>
  <rv s="0">
    <v>536870912</v>
    <v>Zhejiang</v>
    <v>5464490d-3361-4945-967e-d8879b9c8415</v>
    <v>en-GB</v>
    <v>Map</v>
  </rv>
  <rv s="0">
    <v>536870912</v>
    <v>Hebei</v>
    <v>268021ac-4731-f143-328a-f385a6b2f343</v>
    <v>en-GB</v>
    <v>Map</v>
  </rv>
  <rv s="0">
    <v>536870912</v>
    <v>Guizhou</v>
    <v>3025ec8b-299d-6131-4293-401f8dd1701e</v>
    <v>en-GB</v>
    <v>Map</v>
  </rv>
  <rv s="0">
    <v>536870912</v>
    <v>Inner Mongolia</v>
    <v>2c74fdb2-19bf-0f2d-f20d-13b21d6103e6</v>
    <v>en-GB</v>
    <v>Map</v>
  </rv>
  <rv s="0">
    <v>536870912</v>
    <v>Jilin</v>
    <v>20bba38c-89a4-7448-c64a-9ec85a4ba341</v>
    <v>en-GB</v>
    <v>Map</v>
  </rv>
  <rv s="0">
    <v>536870912</v>
    <v>Ningxia</v>
    <v>b9d307c1-70f4-a27f-6800-d624b3030236</v>
    <v>en-GB</v>
    <v>Map</v>
  </rv>
  <rv s="0">
    <v>536870912</v>
    <v>Shanxi</v>
    <v>075dd860-13e3-fb9e-dab0-6f2a22a59c5d</v>
    <v>en-GB</v>
    <v>Map</v>
  </rv>
  <rv s="0">
    <v>536870912</v>
    <v>Liaoning</v>
    <v>50b9b45b-7555-8f4e-500a-81f90d66f392</v>
    <v>en-GB</v>
    <v>Map</v>
  </rv>
  <rv s="0">
    <v>536870912</v>
    <v>Anhui</v>
    <v>7a26b7d2-0ec9-86cd-351a-a9f347c4b9cd</v>
    <v>en-GB</v>
    <v>Map</v>
  </rv>
  <rv s="0">
    <v>536870912</v>
    <v>Jiangxi</v>
    <v>60bbd587-912f-cf97-4a3b-4e9236f59153</v>
    <v>en-GB</v>
    <v>Map</v>
  </rv>
  <rv s="0">
    <v>536870912</v>
    <v>Tibet</v>
    <v>47172d29-ddc9-3139-5851-4a08c8219822</v>
    <v>en-GB</v>
    <v>Map</v>
  </rv>
  <rv s="0">
    <v>536870912</v>
    <v>Hainan</v>
    <v>85cb11dd-f8f0-f5e0-35d3-42ce64c34e9e</v>
    <v>en-GB</v>
    <v>Map</v>
  </rv>
  <rv s="0">
    <v>536870912</v>
    <v>Qinghai</v>
    <v>c8ddeac2-af7f-8ee9-dbac-33f9f697d88c</v>
    <v>en-GB</v>
    <v>Map</v>
  </rv>
  <rv s="0">
    <v>536870912</v>
    <v>Gansu</v>
    <v>2bf7e5b1-3ba4-5943-77aa-7ac1cb9a0535</v>
    <v>en-GB</v>
    <v>Map</v>
  </rv>
  <rv s="0">
    <v>536870912</v>
    <v>Henan</v>
    <v>e1b3708c-e5d8-671a-5b9c-e74cf7d11971</v>
    <v>en-GB</v>
    <v>Map</v>
  </rv>
  <rv s="3">
    <v>36</v>
  </rv>
  <rv s="1">
    <fb>9.4193182022714303E-2</fb>
    <v>31</v>
  </rv>
  <rv s="3">
    <v>37</v>
  </rv>
  <rv s="1">
    <fb>0.59200000000000008</fb>
    <v>31</v>
  </rv>
  <rv s="1">
    <fb>4.3200001716613798E-2</fb>
    <v>40</v>
  </rv>
  <rv s="1">
    <fb>842933962</fb>
    <v>32</v>
  </rv>
  <rv s="5">
    <v>#VALUE!</v>
    <v>en-GB</v>
    <v>5fcc3d97-0cf2-94e5-6dad-cd70e387bd69</v>
    <v>536870912</v>
    <v>1</v>
    <v>141</v>
    <v>24</v>
    <v>China</v>
    <v>27</v>
    <v>28</v>
    <v>Map</v>
    <v>29</v>
    <v>142</v>
    <v>CN</v>
    <v>848</v>
    <v>849</v>
    <v>850</v>
    <v>851</v>
    <v>852</v>
    <v>853</v>
    <v>854</v>
    <v>855</v>
    <v>856</v>
    <v>MOP-Macau</v>
    <v>China, officially the People's Republic of China, is a country in East Asia. It is the world's most populous country, with a population of around 1.4 billion. Covering an area of approximately 9.6 million square kilometers, it is the world's third or fourth-largest country. The country is officially divided into 23 provinces, five autonomous regions, four direct-controlled municipalities, and two special administrative regions of Hong Kong and Macau.</v>
    <v>857</v>
    <v>858</v>
    <v>859</v>
    <v>860</v>
    <v>861</v>
    <v>862</v>
    <v>863</v>
    <v>864</v>
    <v>865</v>
    <v>866</v>
    <v>867</v>
    <v>870</v>
    <v>871</v>
    <v>872</v>
    <v>873</v>
    <v>202</v>
    <v>874</v>
    <v>China</v>
    <v>March of the Volunteers</v>
    <v>875</v>
    <v>People's Republic of China</v>
    <v>876</v>
    <v>877</v>
    <v>878</v>
    <v>716</v>
    <v>879</v>
    <v>880</v>
    <v>881</v>
    <v>882</v>
    <v>883</v>
    <v>39</v>
    <v>884</v>
    <v>915</v>
    <v>916</v>
    <v>917</v>
    <v>918</v>
    <v>919</v>
    <v>China</v>
    <v>920</v>
    <v>mdp/vdpid/45</v>
  </rv>
  <rv s="1">
    <fb>6340.5</fb>
    <v>32</v>
  </rv>
  <rv s="2">
    <v>10</v>
    <v>29</v>
    <v>150</v>
    <v>0</v>
    <v>Image of Shanghai</v>
  </rv>
  <rv s="0">
    <v>805306368</v>
    <v>Gong Zheng (Mayor)</v>
    <v>bd3b92b8-ed8b-49a4-a91a-446bda95cb26</v>
    <v>en-GB</v>
    <v>Generic</v>
  </rv>
  <rv s="3">
    <v>38</v>
  </rv>
  <rv s="4">
    <v>https://www.bing.com/search?q=shanghai&amp;form=skydnc</v>
    <v>Learn more on Bing</v>
  </rv>
  <rv s="1">
    <fb>24870895</fb>
    <v>32</v>
  </rv>
  <rv s="11">
    <v>#VALUE!</v>
    <v>en-GB</v>
    <v>29ece984-463e-6074-60e1-83f8c012ef70</v>
    <v>536870912</v>
    <v>1</v>
    <v>147</v>
    <v>148</v>
    <v>Shanghai</v>
    <v>27</v>
    <v>28</v>
    <v>Map</v>
    <v>29</v>
    <v>149</v>
    <v>CN-31</v>
    <v>922</v>
    <v>847</v>
    <v>Shanghai is one of the four direct-administered municipalities of the People's Republic of China, governed by the State Council. The city is located on the southern estuary of the Yangtze River, with the Huangpu River flowing through it. With a population of 24.28 million as of 2019, it is the most populous urban area in China and the third most populous city proper in the world. Shanghai is a global center for finance, research, technology, manufacturing, and transportation, and the Port of Shanghai is the world's busiest container port.</v>
    <v>923</v>
    <v>925</v>
    <v>926</v>
    <v>Shanghai</v>
    <v>927</v>
    <v>917</v>
    <v>Shanghai</v>
    <v>mdp/vdpid/7839446868474986497</v>
  </rv>
  <rv s="6">
    <v>en-US</v>
    <v>av53mw</v>
    <v>268435456</v>
    <v>1</v>
    <v>Powered by Refinitiv</v>
    <v>41</v>
    <v>CNY/SGD</v>
    <v>42</v>
    <v>43</v>
    <v>Finance</v>
    <v>44</v>
    <v>0.20799999999999999</v>
    <v>0.19539999999999999</v>
    <v>2.0000000000000001E-4</v>
    <v>9.6759999999999999E-4</v>
    <v>SGD</v>
    <v>CNY</v>
    <v>0.2069</v>
    <v>Currency Pair</v>
    <v>44356.144826388889</v>
    <v>0.20680000000000001</v>
    <v>Chinese Renminbi/Singapore Dollar FX Cross Rate</v>
    <v>0.20680000000000001</v>
    <v>0.20669999999999999</v>
    <v>0.2069</v>
    <v>CNYSGD</v>
    <v>CNY/SGD</v>
  </rv>
  <rv s="7">
    <v>929</v>
  </rv>
  <rv s="0">
    <v>536870912</v>
    <v>Shenzhen</v>
    <v>99ca925e-be5c-6e51-d068-a29f016da3e5</v>
    <v>en-GB</v>
    <v>Map</v>
  </rv>
  <rv s="1">
    <fb>2050</fb>
    <v>32</v>
  </rv>
  <rv s="2">
    <v>11</v>
    <v>29</v>
    <v>158</v>
    <v>0</v>
    <v>Image of Shenzhen</v>
  </rv>
  <rv s="1">
    <fb>22.55</fb>
    <v>159</v>
  </rv>
  <rv s="4">
    <v>https://www.bing.com/search?q=shenzhen&amp;form=skydnc</v>
    <v>Learn more on Bing</v>
  </rv>
  <rv s="1">
    <fb>114.1</fb>
    <v>159</v>
  </rv>
  <rv s="1">
    <fb>12591696</fb>
    <v>32</v>
  </rv>
  <rv s="12">
    <v>#VALUE!</v>
    <v>en-GB</v>
    <v>99ca925e-be5c-6e51-d068-a29f016da3e5</v>
    <v>536870912</v>
    <v>1</v>
    <v>155</v>
    <v>156</v>
    <v>Shenzhen</v>
    <v>27</v>
    <v>28</v>
    <v>Map</v>
    <v>29</v>
    <v>157</v>
    <v>890</v>
    <v>932</v>
    <v>847</v>
    <v>Shenzhen is a major sub-provincial city on the east bank of the Pearl River estuary on the central coast of southern province of Guangdong, China. It forms part of the Pearl River Delta megalopolis, bordering Hong Kong to the south, Huizhou to the northeast and Dongguan to the northwest, and shares maritime boundaries with Guangzhou, Zhongshan and Zhuhai to the west and southwest across the estuary.</v>
    <v>933</v>
    <v>934</v>
    <v>935</v>
    <v>936</v>
    <v>Shenzhen</v>
    <v>937</v>
    <v>917</v>
    <v>Shenzhen</v>
    <v>mdp/vdpid/7842410786902245377</v>
  </rv>
  <rv s="0">
    <v>536870912</v>
    <v>Japan</v>
    <v>130d0438-fafb-cd2d-1a9e-1dd9c5aa87a9</v>
    <v>en-GB</v>
    <v>Map</v>
  </rv>
  <rv s="1">
    <fb>0.122640991880623</fb>
    <v>31</v>
  </rv>
  <rv s="1">
    <fb>377944</fb>
    <v>32</v>
  </rv>
  <rv s="1">
    <fb>261000</fb>
    <v>32</v>
  </rv>
  <rv s="1">
    <fb>7.4</fb>
    <v>33</v>
  </rv>
  <rv s="1">
    <fb>81</fb>
    <v>34</v>
  </rv>
  <rv s="0">
    <v>536870912</v>
    <v>Tokyo</v>
    <v>cb44a92f-6c6f-99c4-2ae3-51601fdc919a</v>
    <v>en-GB</v>
    <v>Map</v>
  </rv>
  <rv s="1">
    <fb>1135886.253</fb>
    <v>32</v>
  </rv>
  <rv s="1">
    <fb>105.482172148839</fb>
    <v>35</v>
  </rv>
  <rv s="1">
    <fb>4.7697368421052103E-3</fb>
    <v>31</v>
  </rv>
  <rv s="1">
    <fb>7819.7146359093604</fb>
    <v>32</v>
  </rv>
  <rv s="1">
    <fb>1.42</fb>
    <v>33</v>
  </rv>
  <rv s="1">
    <fb>0.68456222269653788</fb>
    <v>31</v>
  </rv>
  <rv s="1">
    <fb>93.026455107462894</fb>
    <v>36</v>
  </rv>
  <rv s="1">
    <fb>5081769542379.7695</fb>
    <v>38</v>
  </rv>
  <rv s="1">
    <fb>0.98799942016601605</fb>
    <v>31</v>
  </rv>
  <rv s="1">
    <fb>0.63237579345703099</fb>
    <v>31</v>
  </rv>
  <rv s="2">
    <v>12</v>
    <v>29</v>
    <v>170</v>
    <v>0</v>
    <v>Image of Japan</v>
  </rv>
  <rv s="1">
    <fb>1.8</fb>
    <v>36</v>
  </rv>
  <rv s="0">
    <v>536870912</v>
    <v>Keihanshin</v>
    <v>5ff48e9c-1e4f-47b9-a1c8-72b7db43a6b4</v>
    <v>en-GB</v>
    <v>Map</v>
  </rv>
  <rv s="0">
    <v>805306368</v>
    <v>Yoshihide Suga (Prime Minister)</v>
    <v>22dac29f-937c-4c0b-a978-5d283712fdeb</v>
    <v>en-GB</v>
    <v>Generic</v>
  </rv>
  <rv s="0">
    <v>805306368</v>
    <v>Koichi Yamamoto (Minister)</v>
    <v>6667db09-a536-1292-29e3-6ad1ed7a71bc</v>
    <v>en-GB</v>
    <v>Generic</v>
  </rv>
  <rv s="3">
    <v>39</v>
  </rv>
  <rv s="4">
    <v>https://www.bing.com/search?q=japan&amp;form=skydnc</v>
    <v>Learn more on Bing</v>
  </rv>
  <rv s="1">
    <fb>84.210975609756105</fb>
    <v>36</v>
  </rv>
  <rv s="1">
    <fb>6191073290000</fb>
    <v>38</v>
  </rv>
  <rv s="1">
    <fb>5</fb>
    <v>36</v>
  </rv>
  <rv s="1">
    <fb>6.77</fb>
    <v>37</v>
  </rv>
  <rv s="1">
    <fb>0.13097521000000001</fb>
    <v>31</v>
  </rv>
  <rv s="1">
    <fb>2.4115000000000002</fb>
    <v>33</v>
  </rv>
  <rv s="1">
    <fb>126264931</fb>
    <v>32</v>
  </rv>
  <rv s="1">
    <fb>0.26400000000000001</fb>
    <v>31</v>
  </rv>
  <rv s="1">
    <fb>0.41100000000000003</fb>
    <v>31</v>
  </rv>
  <rv s="1">
    <fb>2.8999999999999998E-2</fb>
    <v>31</v>
  </rv>
  <rv s="1">
    <fb>7.6999999999999999E-2</fb>
    <v>31</v>
  </rv>
  <rv s="1">
    <fb>0.128</fb>
    <v>31</v>
  </rv>
  <rv s="1">
    <fb>0.16600000000000001</fb>
    <v>31</v>
  </rv>
  <rv s="1">
    <fb>0.61726001739502001</fb>
    <v>31</v>
  </rv>
  <rv s="0">
    <v>536870912</v>
    <v>Kanagawa Prefecture</v>
    <v>d5976989-847c-bcca-3cb3-11bfacc55c5d</v>
    <v>en-GB</v>
    <v>Map</v>
  </rv>
  <rv s="0">
    <v>536870912</v>
    <v>Niigata Prefecture</v>
    <v>d88c2b16-14cc-3861-9ddc-31ebd94b17d9</v>
    <v>en-GB</v>
    <v>Map</v>
  </rv>
  <rv s="0">
    <v>536870912</v>
    <v>Tochigi Prefecture</v>
    <v>faae3362-0727-4ec5-6d01-3048e7e1526c</v>
    <v>en-GB</v>
    <v>Map</v>
  </rv>
  <rv s="0">
    <v>536870912</v>
    <v>Miyagi Prefecture</v>
    <v>2df5e06d-7fb5-6da7-5d3b-29b4ff80395e</v>
    <v>en-GB</v>
    <v>Map</v>
  </rv>
  <rv s="0">
    <v>536870912</v>
    <v>Shimane Prefecture</v>
    <v>580cd2e8-a550-7297-21b8-252fe27c1650</v>
    <v>en-GB</v>
    <v>Map</v>
  </rv>
  <rv s="0">
    <v>536870912</v>
    <v>Gunma Prefecture</v>
    <v>b64077a0-378d-c23f-b45c-2b3a03cba119</v>
    <v>en-GB</v>
    <v>Map</v>
  </rv>
  <rv s="0">
    <v>536870912</v>
    <v>Nara Prefecture</v>
    <v>99c4ba8c-9fb8-efe8-6368-0eb648372fb2</v>
    <v>en-GB</v>
    <v>Map</v>
  </rv>
  <rv s="0">
    <v>536870912</v>
    <v>Aomori Prefecture</v>
    <v>bdd4a43f-5a1f-1483-b74b-1c2e2d564a31</v>
    <v>en-GB</v>
    <v>Map</v>
  </rv>
  <rv s="0">
    <v>536870912</v>
    <v>Hokkaido</v>
    <v>6881270d-4678-fd1e-69e8-625b9f6cfad7</v>
    <v>en-GB</v>
    <v>Map</v>
  </rv>
  <rv s="0">
    <v>536870912</v>
    <v>Kyoto Prefecture</v>
    <v>699d1960-1267-7c97-6c62-e139537430a0</v>
    <v>en-GB</v>
    <v>Map</v>
  </rv>
  <rv s="0">
    <v>536870912</v>
    <v>Akita Prefecture</v>
    <v>23901f9e-0010-b10e-217f-76889688c150</v>
    <v>en-GB</v>
    <v>Map</v>
  </rv>
  <rv s="0">
    <v>536870912</v>
    <v>Nagano Prefecture</v>
    <v>7afcd7d0-3729-6e2f-d60f-ace5cc191bd0</v>
    <v>en-GB</v>
    <v>Map</v>
  </rv>
  <rv s="0">
    <v>536870912</v>
    <v>Iwate Prefecture</v>
    <v>02eea5a7-6ae7-8bf6-a17a-c242b4162121</v>
    <v>en-GB</v>
    <v>Map</v>
  </rv>
  <rv s="0">
    <v>536870912</v>
    <v>Shizuoka Prefecture</v>
    <v>ca8ec756-8a3c-20a2-7e11-d24e284b7258</v>
    <v>en-GB</v>
    <v>Map</v>
  </rv>
  <rv s="0">
    <v>536870912</v>
    <v>Yamaguchi Prefecture</v>
    <v>8a70f93f-b3cb-6430-8962-9b62c21575f3</v>
    <v>en-GB</v>
    <v>Map</v>
  </rv>
  <rv s="0">
    <v>536870912</v>
    <v>Okinawa Prefecture</v>
    <v>e26094bf-30f4-9d5e-ed21-f166be1cfad3</v>
    <v>en-GB</v>
    <v>Map</v>
  </rv>
  <rv s="0">
    <v>536870912</v>
    <v>Kagawa Prefecture</v>
    <v>bdd9ba22-f775-2984-6115-5438af268070</v>
    <v>en-GB</v>
    <v>Map</v>
  </rv>
  <rv s="0">
    <v>536870912</v>
    <v>Aichi Prefecture</v>
    <v>404b15c4-d9ae-5896-6d50-b1481f5dd5cd</v>
    <v>en-GB</v>
    <v>Map</v>
  </rv>
  <rv s="0">
    <v>536870912</v>
    <v>Fukuoka Prefecture</v>
    <v>a58bcb0e-97b3-0ac9-f0c0-e119441e5cba</v>
    <v>en-GB</v>
    <v>Map</v>
  </rv>
  <rv s="0">
    <v>536870912</v>
    <v>Osaka Prefecture</v>
    <v>a583e9fe-2d16-b004-281e-4c6841471145</v>
    <v>en-GB</v>
    <v>Map</v>
  </rv>
  <rv s="0">
    <v>536870912</v>
    <v>Mie Prefecture</v>
    <v>36b5c190-9782-f717-071c-66ee3f0eab90</v>
    <v>en-GB</v>
    <v>Map</v>
  </rv>
  <rv s="0">
    <v>536870912</v>
    <v>Ōita Prefecture</v>
    <v>c81f03fa-05e5-d708-3db6-3b6d5ed92f67</v>
    <v>en-GB</v>
    <v>Map</v>
  </rv>
  <rv s="0">
    <v>536870912</v>
    <v>Okayama Prefecture</v>
    <v>e9792cdf-f004-a2bf-db55-28eabec2a7c0</v>
    <v>en-GB</v>
    <v>Map</v>
  </rv>
  <rv s="0">
    <v>536870912</v>
    <v>Kumamoto Prefecture</v>
    <v>52bcf337-792b-3880-8875-847fe25699df</v>
    <v>en-GB</v>
    <v>Map</v>
  </rv>
  <rv s="0">
    <v>536870912</v>
    <v>Ibaraki Prefecture</v>
    <v>d16517c8-96b5-094f-f4ce-4aa391d6c7a2</v>
    <v>en-GB</v>
    <v>Map</v>
  </rv>
  <rv s="0">
    <v>536870912</v>
    <v>Chiba Prefecture</v>
    <v>0d6c59a9-daa8-57c7-3846-568b398d3c41</v>
    <v>en-GB</v>
    <v>Map</v>
  </rv>
  <rv s="0">
    <v>536870912</v>
    <v>Saitama Prefecture</v>
    <v>03a81bc6-6fd0-fac9-0958-cd81fcf07a35</v>
    <v>en-GB</v>
    <v>Map</v>
  </rv>
  <rv s="0">
    <v>536870912</v>
    <v>Fukushima Prefecture</v>
    <v>73791ec1-3b90-e21b-3cc7-0e8444934877</v>
    <v>en-GB</v>
    <v>Map</v>
  </rv>
  <rv s="0">
    <v>536870912</v>
    <v>Gifu Prefecture</v>
    <v>2c82ed6b-33c4-4355-bd09-71939ba5ff4a</v>
    <v>en-GB</v>
    <v>Map</v>
  </rv>
  <rv s="0">
    <v>536870912</v>
    <v>Toyama Prefecture</v>
    <v>3fd9a341-4706-cc8a-3953-779219c2cc10</v>
    <v>en-GB</v>
    <v>Map</v>
  </rv>
  <rv s="0">
    <v>536870912</v>
    <v>Fukui Prefecture</v>
    <v>e859104b-0d73-b8bf-c4f4-56888a2281cd</v>
    <v>en-GB</v>
    <v>Map</v>
  </rv>
  <rv s="0">
    <v>536870912</v>
    <v>Hiroshima Prefecture</v>
    <v>75de6a1b-763c-40ed-8e98-60dc318775fc</v>
    <v>en-GB</v>
    <v>Map</v>
  </rv>
  <rv s="0">
    <v>536870912</v>
    <v>Yamanashi Prefecture</v>
    <v>3e9e0d88-33e9-a04d-7fd7-a1679da279b5</v>
    <v>en-GB</v>
    <v>Map</v>
  </rv>
  <rv s="0">
    <v>536870912</v>
    <v>Saga Prefecture</v>
    <v>171c9320-6b1a-2ebc-2002-85b3d707f979</v>
    <v>en-GB</v>
    <v>Map</v>
  </rv>
  <rv s="0">
    <v>536870912</v>
    <v>Miyazaki Prefecture</v>
    <v>3bb91686-f345-53cf-6fb8-97d98890dc7d</v>
    <v>en-GB</v>
    <v>Map</v>
  </rv>
  <rv s="0">
    <v>536870912</v>
    <v>Yamagata Prefecture</v>
    <v>74d18529-a623-a2f9-9e38-40891e57c7d8</v>
    <v>en-GB</v>
    <v>Map</v>
  </rv>
  <rv s="0">
    <v>536870912</v>
    <v>Nagasaki Prefecture</v>
    <v>8caf62a2-006c-dde2-9c4d-e19d90ff2f0e</v>
    <v>en-GB</v>
    <v>Map</v>
  </rv>
  <rv s="0">
    <v>536870912</v>
    <v>Hyōgo Prefecture</v>
    <v>018712db-aec7-3894-1042-cbf5df14fac5</v>
    <v>en-GB</v>
    <v>Map</v>
  </rv>
  <rv s="0">
    <v>536870912</v>
    <v>Kōchi Prefecture</v>
    <v>3fcb8073-d695-79de-cd11-91dc78fb0481</v>
    <v>en-GB</v>
    <v>Map</v>
  </rv>
  <rv s="0">
    <v>536870912</v>
    <v>Ehime Prefecture</v>
    <v>0e0b1bbf-5926-d5dc-0e10-24f8c566ca8c</v>
    <v>en-GB</v>
    <v>Map</v>
  </rv>
  <rv s="0">
    <v>536870912</v>
    <v>Wakayama Prefecture</v>
    <v>fa064941-15ba-eb91-63a1-7e13f0aaa879</v>
    <v>en-GB</v>
    <v>Map</v>
  </rv>
  <rv s="0">
    <v>536870912</v>
    <v>Kagoshima Prefecture</v>
    <v>c3e1f2d9-0225-9e77-d77d-952bbf72ceb7</v>
    <v>en-GB</v>
    <v>Map</v>
  </rv>
  <rv s="0">
    <v>536870912</v>
    <v>Tottori Prefecture</v>
    <v>5bfbddb8-df0b-1d9c-3772-363d9be5878a</v>
    <v>en-GB</v>
    <v>Map</v>
  </rv>
  <rv s="0">
    <v>536870912</v>
    <v>Ishikawa Prefecture</v>
    <v>db2b14c2-e9db-32f7-5d44-025637689af0</v>
    <v>en-GB</v>
    <v>Map</v>
  </rv>
  <rv s="0">
    <v>536870912</v>
    <v>Tokushima Prefecture</v>
    <v>90ca77f2-2c01-cf7e-fb1e-58a68f9fc0bf</v>
    <v>en-GB</v>
    <v>Map</v>
  </rv>
  <rv s="0">
    <v>536870912</v>
    <v>Shiga Prefecture</v>
    <v>a778bb7c-b03b-d571-1839-962c4dea2bb2</v>
    <v>en-GB</v>
    <v>Map</v>
  </rv>
  <rv s="3">
    <v>40</v>
  </rv>
  <rv s="1">
    <fb>0.11905933830538</fb>
    <v>31</v>
  </rv>
  <rv s="3">
    <v>41</v>
  </rv>
  <rv s="1">
    <fb>0.46700000000000003</fb>
    <v>31</v>
  </rv>
  <rv s="1">
    <fb>2.2909998893737803E-2</fb>
    <v>40</v>
  </rv>
  <rv s="1">
    <fb>115782416</fb>
    <v>32</v>
  </rv>
  <rv s="13">
    <v>#VALUE!</v>
    <v>en-GB</v>
    <v>130d0438-fafb-cd2d-1a9e-1dd9c5aa87a9</v>
    <v>536870912</v>
    <v>1</v>
    <v>167</v>
    <v>168</v>
    <v>Japan</v>
    <v>27</v>
    <v>28</v>
    <v>Map</v>
    <v>29</v>
    <v>169</v>
    <v>JP</v>
    <v>940</v>
    <v>941</v>
    <v>942</v>
    <v>943</v>
    <v>944</v>
    <v>945</v>
    <v>946</v>
    <v>947</v>
    <v>948</v>
    <v>Japan is an island country in East Asia, located in the northwest Pacific Ocean. It is bordered on the west by the Sea of Japan, and extends from the Sea of Okhotsk in the north toward the East China Sea and Taiwan in the south. Part of the Ring of Fire, Japan spans an archipelago of 6852 islands covering 377,975 square kilometers; the five main islands are Hokkaido, Honshu, Shikoku, Kyushu, and Okinawa. Tokyo is Japan's capital and largest city; other major cities include Yokohama, Osaka, Nagoya, Sapporo, Fukuoka, Kobe, and Kyoto.</v>
    <v>949</v>
    <v>950</v>
    <v>951</v>
    <v>952</v>
    <v>711</v>
    <v>953</v>
    <v>954</v>
    <v>955</v>
    <v>956</v>
    <v>957</v>
    <v>958</v>
    <v>961</v>
    <v>962</v>
    <v>963</v>
    <v>964</v>
    <v>965</v>
    <v>966</v>
    <v>Japan</v>
    <v>Kimigayo</v>
    <v>29</v>
    <v>Japan</v>
    <v>967</v>
    <v>968</v>
    <v>969</v>
    <v>307</v>
    <v>970</v>
    <v>971</v>
    <v>972</v>
    <v>973</v>
    <v>974</v>
    <v>975</v>
    <v>976</v>
    <v>1023</v>
    <v>1024</v>
    <v>1025</v>
    <v>1026</v>
    <v>1027</v>
    <v>Japan</v>
    <v>1028</v>
    <v>mdp/vdpid/122</v>
  </rv>
  <rv s="6">
    <v>en-US</v>
    <v>ave6zr</v>
    <v>268435456</v>
    <v>1</v>
    <v>Powered by Refinitiv</v>
    <v>41</v>
    <v>JPY/SGD</v>
    <v>42</v>
    <v>43</v>
    <v>Finance</v>
    <v>44</v>
    <v>1.315E-2</v>
    <v>1.2019999999999999E-2</v>
    <v>5.0000000000000004E-6</v>
    <v>4.1379999999999998E-4</v>
    <v>SGD</v>
    <v>JPY</v>
    <v>1.21E-2</v>
    <v>Currency Pair</v>
    <v>44356.14502314815</v>
    <v>1.209E-2</v>
    <v>Japanese Yen/Singapore Dollar FX Cross Rate</v>
    <v>1.208E-2</v>
    <v>1.208E-2</v>
    <v>1.209E-2</v>
    <v>JPYSGD</v>
    <v>JPY/SGD</v>
  </rv>
  <rv s="7">
    <v>1030</v>
  </rv>
  <rv s="4">
    <v>http://en.wikipedia.org/wiki/Public_domain</v>
    <v>Public domain</v>
  </rv>
  <rv s="4">
    <v>http://en.wikipedia.org/wiki/New_Gold</v>
    <v>Wikipedia</v>
  </rv>
  <rv s="14">
    <v>1032</v>
    <v>1033</v>
  </rv>
  <rv s="15">
    <v>175</v>
    <v>https://www.bing.com/th?id=AMMS_9b8442c3729f8d236082e64ce6a3c6b2&amp;qlt=95</v>
    <v>1034</v>
    <v>0</v>
    <v>https://www.bing.com/images/search?form=xlimg&amp;q=new+gold</v>
    <v>Image of NEW GOLD INC.</v>
  </rv>
  <rv s="4">
    <v>https://www.bing.com/financeapi/forcetrigger?t=a1yh3m&amp;q=XNYS%3aNGD&amp;form=skydnc</v>
    <v>Learn more on Bing</v>
  </rv>
  <rv s="16">
    <v>en-US</v>
    <v>a1yh3m</v>
    <v>268435456</v>
    <v>1</v>
    <v>Powered by Refinitiv</v>
    <v>171</v>
    <v>NEW GOLD INC. (XNYS:NGD)</v>
    <v>172</v>
    <v>173</v>
    <v>Finance</v>
    <v>174</v>
    <v>2.4</v>
    <v>1.05</v>
    <v>1.845</v>
    <v>-7.0000000000000007E-2</v>
    <v>0</v>
    <v>-3.3019E-2</v>
    <v>0</v>
    <v>USD</v>
    <v>New Gold Inc. is a Canada-based gold mining company. The Company owns assets in Canada and Mexico. Its assets include Rainy River, New Afton Mines and Cerro San Pedro Mine. The Rainy River Mine is situated in the Richardson Township, approximately 65 kilometers (km) northwest of Fort Frances in Northwestern Ontario. The New Afton copper-gold mine is located approximately 350 km northeast of Vancouver in the south-central interior of British Columbia. The Cerro San Pedro Mine is an open-pit gold and silver heap leach operation located in central Mexico in the state of San Luis Potosi, approximately 400 km north of Mexico City and 14 km east of the city of San Luis Potosi.</v>
    <v>1337</v>
    <v>New York Stock Exchange</v>
    <v>XNYS</v>
    <v>XNYS</v>
    <v>181 BAY STREET, SUITE 3320, TORONTO, ON, M5J 2T3 CA</v>
    <v>2.12</v>
    <v>1035</v>
    <v>Metals &amp; Mining</v>
    <v>Stock</v>
    <v>44356.000000010936</v>
    <v>1036</v>
    <v>2.0499999999999998</v>
    <v>1728978000</v>
    <v>NEW GOLD INC.</v>
    <v>NEW GOLD INC.</v>
    <v>2.11</v>
    <v>0</v>
    <v>2.12</v>
    <v>2.0499999999999998</v>
    <v>2.0499999999999998</v>
    <v>680700000</v>
    <v>NGD</v>
    <v>NEW GOLD INC. (XNYS:NGD)</v>
    <v>3609757</v>
    <v>5724884</v>
    <v>2016</v>
  </rv>
  <rv s="7">
    <v>1037</v>
  </rv>
  <rv s="4">
    <v>https://creativecommons.org/licenses/by-sa/3.0</v>
    <v>CC BY-SA 3.0</v>
  </rv>
  <rv s="4">
    <v>http://es.wikipedia.org/wiki/Commonwealth_Bank</v>
    <v>Wikipedia</v>
  </rv>
  <rv s="14">
    <v>1039</v>
    <v>1040</v>
  </rv>
  <rv s="15">
    <v>175</v>
    <v>https://www.bing.com/th?id=AMMS_089ff6a47bfca2b56ef8471130a40973&amp;qlt=95</v>
    <v>1041</v>
    <v>0</v>
    <v>https://www.bing.com/images/search?form=xlimg&amp;q=commonwealth+bank</v>
    <v>Image of COMMONWEALTH BANK OF AUSTRALIA</v>
  </rv>
  <rv s="4">
    <v>https://www.bing.com/financeapi/forcetrigger?t=aa5cec&amp;q=XASX%3aCBA&amp;form=skydnc</v>
    <v>Learn more on Bing</v>
  </rv>
  <rv s="17">
    <v>en-US</v>
    <v>aa5cec</v>
    <v>268435456</v>
    <v>1</v>
    <v>Powered by Refinitiv</v>
    <v>176</v>
    <v>COMMONWEALTH BANK OF AUSTRALIA (XASX:CBA)</v>
    <v>172</v>
    <v>177</v>
    <v>Finance</v>
    <v>178</v>
    <v>102.64</v>
    <v>62.64</v>
    <v>0.98119999999999996</v>
    <v>-0.17</v>
    <v>-1.6750000000000001E-3</v>
    <v>AUD</v>
    <v>Commonwealth Bank of Australia is a banking company. The Company provides financial services, including retail, business and institutional banking, funds management, superannuation, general insurance, broking services and finance company activities. The Company's segments include Retail Banking Services, which provides home loan, consumer finance and retail deposit products; Business Banking segment provides banking services to relationship managed business and agribusiness customers, and offers digital payments and claims solutions; Institutional Banking and Markets serves the commercial and wholesale banking needs of corporate, institutional and government clients; New Zealand segment includes the banking and funds management businesses operating in New Zealand; International Financial Services and Corporate Centre includes the Indonesian retail and business banking operations, and investments in China and Vietnam. Its Corporate Centre includes treasury, legal and corporate affairs.</v>
    <v>42720</v>
    <v>Australian Securities Exchange</v>
    <v>XASX</v>
    <v>XASX</v>
    <v>Ground Floor, Tower 1, 201 Sussex Street, SYDNEY, NEW SOUTH WALES, 2000 AU</v>
    <v>101.91</v>
    <v>1042</v>
    <v>Banking Services</v>
    <v>Stock</v>
    <v>44356.13108796296</v>
    <v>1043</v>
    <v>100.94</v>
    <v>180833600000</v>
    <v>COMMONWEALTH BANK OF AUSTRALIA</v>
    <v>COMMONWEALTH BANK OF AUSTRALIA</v>
    <v>101.38</v>
    <v>21.5</v>
    <v>101.48</v>
    <v>101.31</v>
    <v>1774096000</v>
    <v>CBA</v>
    <v>COMMONWEALTH BANK OF AUSTRALIA (XASX:CBA)</v>
    <v>586705</v>
    <v>1991</v>
  </rv>
  <rv s="7">
    <v>1044</v>
  </rv>
  <rv s="4">
    <v>https://www.bing.com/financeapi/forcetrigger?t=aa921h&amp;q=XASX%3aRIO&amp;form=skydnc</v>
    <v>Learn more on Bing</v>
  </rv>
  <rv s="18">
    <v>en-US</v>
    <v>aa921h</v>
    <v>268435456</v>
    <v>1</v>
    <v>Powered by Refinitiv</v>
    <v>179</v>
    <v>RIO TINTO LIMITED (XASX:RIO)</v>
    <v>180</v>
    <v>181</v>
    <v>Finance</v>
    <v>178</v>
    <v>132.94</v>
    <v>89.204999999999998</v>
    <v>0.56130000000000002</v>
    <v>0.36</v>
    <v>2.8990000000000001E-3</v>
    <v>AUD</v>
    <v>Rio Tinto Limited (Rio Tinto) is a mining company. The Company is focused on finding, mining and processing of mineral resources. Its segments include Iron Ore, Aluminum, Copper &amp; Diamonds, Energy &amp; Minerals, and Other Operations. Its products include aluminum, copper, diamonds, gold, industrial minerals (borates, titanium dioxide and salt), iron ore and thermal and metallurgical coal. The Iron Ore product group's operations are located in the Pilbara region of Western Australia. The Company's business includes bauxite mines, alumina refineries and a range of aluminum smelters. The Copper &amp; Diamonds product group has managed operations in Australia, Canada, Mongolia and the United States, and non-managed operations in Chile and Indonesia. The Energy &amp; Minerals has operations across six sectors: borates, coal, iron ore concentrate and pellets, salt and titanium dioxide.</v>
    <v>47474</v>
    <v>Australian Securities Exchange</v>
    <v>XASX</v>
    <v>XASX</v>
    <v>120 Collins St, MELBOURNE, VICTORIA, 3000 AU</v>
    <v>125.77</v>
    <v>Metals &amp; Mining</v>
    <v>Stock</v>
    <v>44356.131076388891</v>
    <v>1046</v>
    <v>124.18</v>
    <v>186702500000</v>
    <v>RIO TINTO LIMITED</v>
    <v>RIO TINTO LIMITED</v>
    <v>125.05</v>
    <v>15.83</v>
    <v>124.16</v>
    <v>124.52</v>
    <v>1618978000</v>
    <v>RIO</v>
    <v>RIO TINTO LIMITED (XASX:RIO)</v>
    <v>422842</v>
    <v>1959</v>
  </rv>
  <rv s="7">
    <v>1047</v>
  </rv>
  <rv s="4">
    <v>https://creativecommons.org/licenses/by-sa/4.0</v>
    <v>CC BY-SA 4.0</v>
  </rv>
  <rv s="4">
    <v>http://es.wikipedia.org/wiki/Qantas</v>
    <v>Wikipedia</v>
  </rv>
  <rv s="14">
    <v>1049</v>
    <v>1050</v>
  </rv>
  <rv s="15">
    <v>175</v>
    <v>https://www.bing.com/th?id=AMMS_53a9aae42956a55d09ebd533196123cf&amp;qlt=95</v>
    <v>1051</v>
    <v>0</v>
    <v>https://www.bing.com/images/search?form=xlimg&amp;q=qantas</v>
    <v>Image of QANTAS AIRWAYS LIMITED</v>
  </rv>
  <rv s="4">
    <v>https://www.bing.com/financeapi/forcetrigger?t=aa8rvh&amp;q=XASX%3aQAN&amp;form=skydnc</v>
    <v>Learn more on Bing</v>
  </rv>
  <rv s="17">
    <v>en-US</v>
    <v>aa8rvh</v>
    <v>268435456</v>
    <v>1</v>
    <v>Powered by Refinitiv</v>
    <v>176</v>
    <v>QANTAS AIRWAYS LIMITED (XASX:QAN)</v>
    <v>172</v>
    <v>177</v>
    <v>Finance</v>
    <v>178</v>
    <v>5.79</v>
    <v>3.12</v>
    <v>1.4020999999999999</v>
    <v>-0.01</v>
    <v>-2.0660000000000001E-3</v>
    <v>AUD</v>
    <v>Qantas Airways Limited is an Australia-based company, which operates domestic and international airline. The Company is engaged in the operation of international and domestic air transportation services, the provision of freight services and the operation of a frequent flyer loyalty program. Its segments include Qantas Domestic, Qantas International, Jetstar Group, Qantas Loyalty and Corporate. The Qantas Domestic, Qantas International and Jetstar Group segments include passenger flying businesses. The Qantas Loyalty segment is engaged in the customer loyalty recognition programs. Its main business is the transportation of customers using two airline brands, which include Qantas and Jetstar. Its airline brands operate regional, domestic and international services.</v>
    <v>25000</v>
    <v>Australian Securities Exchange</v>
    <v>XASX</v>
    <v>XASX</v>
    <v>10 Bourke Rd, MASCOT, NEW SOUTH WALES, 2020 AU</v>
    <v>4.9000000000000004</v>
    <v>1052</v>
    <v>Passenger Transportation Services</v>
    <v>Stock</v>
    <v>44356.131113818752</v>
    <v>1053</v>
    <v>4.8</v>
    <v>9015294000</v>
    <v>QANTAS AIRWAYS LIMITED</v>
    <v>QANTAS AIRWAYS LIMITED</v>
    <v>4.84</v>
    <v>7.04</v>
    <v>4.84</v>
    <v>4.83</v>
    <v>1886045000</v>
    <v>QAN</v>
    <v>QANTAS AIRWAYS LIMITED (XASX:QAN)</v>
    <v>1527379</v>
    <v>1934</v>
  </rv>
  <rv s="7">
    <v>1054</v>
  </rv>
  <rv s="4">
    <v>https://www.bing.com/financeapi/forcetrigger?t=aa4p4c&amp;q=XASX%3aAST&amp;form=skydnc</v>
    <v>Learn more on Bing</v>
  </rv>
  <rv s="18">
    <v>en-US</v>
    <v>aa4p4c</v>
    <v>268435456</v>
    <v>1</v>
    <v>Powered by Refinitiv</v>
    <v>179</v>
    <v>AUSNET SERVICES LTD. (XASX:AST)</v>
    <v>180</v>
    <v>181</v>
    <v>Finance</v>
    <v>178</v>
    <v>2.1</v>
    <v>1.635</v>
    <v>0.1928</v>
    <v>7.4999999999999997E-3</v>
    <v>4.2129999999999997E-3</v>
    <v>AUD</v>
    <v>AusNet Services Ltd is an Australia-based company that operates an energy infrastructure business. The Company’s segments include Electricity distribution, Gas distribution, Electricity transmission and Mondo. The electricity distribution network carries electricity from the high voltage transmission network to end users, including metering. Its electricity distribution network covers eastern Victoria including the eastern metropolitan region of Melbourne. The gas distribution network carries natural gas to commercial and residential end users, including metering. Its gas distribution network covers central and western Victoria. Electricity transmission segment consists of the transmission lines and towers which carry electricity at high voltages from power generators to electricity distributors around Victoria. The Mondo business provides contracted infrastructure asset services and specialized technology solutions to enable energy data and asset intelligence services.</v>
    <v>1500</v>
    <v>Australian Securities Exchange</v>
    <v>XASX</v>
    <v>XASX</v>
    <v>L 31 2 Southbank Bvd, SOUTHBANK, VICTORIA, 3006 AU</v>
    <v>1.7949999999999999</v>
    <v>Electrical Utilities &amp; IPPs</v>
    <v>Stock</v>
    <v>44356.13102910859</v>
    <v>1056</v>
    <v>1.7749999999999999</v>
    <v>6766194000</v>
    <v>AUSNET SERVICES LTD.</v>
    <v>AUSNET SERVICES LTD.</v>
    <v>1.78</v>
    <v>22.14</v>
    <v>1.78</v>
    <v>1.7875000000000001</v>
    <v>3801232000</v>
    <v>AST</v>
    <v>AUSNET SERVICES LTD. (XASX:AST)</v>
    <v>1658078</v>
    <v>2014</v>
  </rv>
  <rv s="7">
    <v>1057</v>
  </rv>
  <rv s="4">
    <v>https://www.bing.com/financeapi/forcetrigger?t=aaa92w&amp;q=XASX%3aVMS&amp;form=skydnc</v>
    <v>Learn more on Bing</v>
  </rv>
  <rv s="19">
    <v>en-US</v>
    <v>aaa92w</v>
    <v>268435456</v>
    <v>1</v>
    <v>Powered by Refinitiv</v>
    <v>182</v>
    <v>VENTURE MINERALS LIMITED (XASX:VMS)</v>
    <v>180</v>
    <v>183</v>
    <v>Finance</v>
    <v>178</v>
    <v>0.14499999999999999</v>
    <v>1.6E-2</v>
    <v>1.8837999999999999</v>
    <v>5.0000000000000001E-3</v>
    <v>3.8462000000000003E-2</v>
    <v>AUD</v>
    <v>Venture Minerals Limited is engaged in the exploration for mineral reserves within Australia and Thailand. The Company's prospects named Pak Yang and Thali are located in the Loei Belt, which hosts copper and gold deposits, including Kingsgate's Chatree deposit and PanAust's Phu Kham deposit. Its Tasmanian Operations are located in northwest Tasmania approximately 125 kilometers south from the Port of Burnie. Its Tasmanian tenement exploration area covers over 186 square kilometers encompassing the south and eastern margins and metamorphic aureole of the Meredith Granite. Its Riley DSO Project is located approximately 10 kilometers from the Mt Lindsay Tin-Tungsten Deposit and occurs as a hematite rich pisolitic and cemented laterite. The Company's Livingstone DSO Hematite deposit is located approximately 3.5 kilometers from the Company's Mt Lindsay Tin-Tungsten deposit.</v>
    <v>Australian Securities Exchange</v>
    <v>XASX</v>
    <v>XASX</v>
    <v>L 3 24 Outram Street, PERTH, WESTERN AUSTRALIA, 6005 AU</v>
    <v>0.13500000000000001</v>
    <v>Metals &amp; Mining</v>
    <v>Stock</v>
    <v>44356.128449074073</v>
    <v>1059</v>
    <v>0.13</v>
    <v>178764200</v>
    <v>VENTURE MINERALS LIMITED</v>
    <v>VENTURE MINERALS LIMITED</v>
    <v>0.13500000000000001</v>
    <v>4.91</v>
    <v>0.13</v>
    <v>0.13500000000000001</v>
    <v>1324179000</v>
    <v>VMS</v>
    <v>VENTURE MINERALS LIMITED (XASX:VMS)</v>
    <v>3426345</v>
    <v>2006</v>
  </rv>
  <rv s="7">
    <v>1060</v>
  </rv>
  <rv s="4">
    <v>https://www.bing.com/financeapi/forcetrigger?t=aa7v52&amp;q=XASX%3aMRD&amp;form=skydnc</v>
    <v>Learn more on Bing</v>
  </rv>
  <rv s="18">
    <v>en-US</v>
    <v>aa7v52</v>
    <v>268435456</v>
    <v>1</v>
    <v>Powered by Refinitiv</v>
    <v>179</v>
    <v>MOUNT RIDLEY MINES LIMITED (XASX:MRD)</v>
    <v>180</v>
    <v>181</v>
    <v>Finance</v>
    <v>178</v>
    <v>8.9999999999999993E-3</v>
    <v>1E-3</v>
    <v>1.4665999999999999</v>
    <v>-5.0000000000000001E-4</v>
    <v>-7.1429000000000006E-2</v>
    <v>AUD</v>
    <v>Mount Ridley Mines Limited is an Australia-based exploration company focusing primarily on projects in the Fraser Range region, Western Australia. The Company’s projects include the Mount Ridley project and the Weld Range West Iron project. The Mount Ridley project located within a Fraser Range sub-basin, drilling has intersected disseminated and blebby nickel and copper sulphides hosted in a differentiated mafic intrusion. The Weld Range West Iron project area comprises over three granted exploration licenses that cover a total area of approximately 76 square kilometers.</v>
    <v>1</v>
    <v>Australian Securities Exchange</v>
    <v>XASX</v>
    <v>XASX</v>
    <v>Unit 10 100 Hay Street, SUBIACO, WESTERN AUSTRALIA, 6008 AU</v>
    <v>7.0000000000000001E-3</v>
    <v>Metals &amp; Mining</v>
    <v>Stock</v>
    <v>44356.128379629627</v>
    <v>1062</v>
    <v>6.4999999999999997E-3</v>
    <v>28344000</v>
    <v>MOUNT RIDLEY MINES LIMITED</v>
    <v>MOUNT RIDLEY MINES LIMITED</v>
    <v>7.0000000000000001E-3</v>
    <v>3.33</v>
    <v>7.0000000000000001E-3</v>
    <v>6.4999999999999997E-3</v>
    <v>4360615000</v>
    <v>MRD</v>
    <v>MOUNT RIDLEY MINES LIMITED (XASX:MRD)</v>
    <v>3288529</v>
    <v>2000</v>
  </rv>
  <rv s="7">
    <v>1063</v>
  </rv>
  <rv s="4">
    <v>https://www.bing.com/financeapi/forcetrigger?t=aa95ar&amp;q=XASX%3aROG&amp;form=skydnc</v>
    <v>Learn more on Bing</v>
  </rv>
  <rv s="19">
    <v>en-US</v>
    <v>aa95ar</v>
    <v>268435456</v>
    <v>1</v>
    <v>Powered by Refinitiv</v>
    <v>182</v>
    <v>RED SKY ENERGY LIMITED (XASX:ROG)</v>
    <v>180</v>
    <v>183</v>
    <v>Finance</v>
    <v>178</v>
    <v>1.9E-2</v>
    <v>0</v>
    <v>2.2608999999999999</v>
    <v>5.0000000000000001E-4</v>
    <v>7.1429000000000006E-2</v>
    <v>AUD</v>
    <v>Red Sky Energy Limited is an Australia-based oil and gas acquisition and development company. The Company's principal activities are exploration for economic deposits of oil and gas. The Company operates through the exploration and development of properties for the development of oil and gas segment. Its exploration assets are located in the United States. It focuses on acquiring, drilling and developing onshore North American oil and gas resources. The Company's gas projects include Gold Nugget Field. The Gold Nugget Field includes multiple discrete sandstone reservoirs and is located in the Wind River Basin, Wyoming. The Gold Nugget covers the area of over 320 acres. Gold Nugget produces over 150 million cubic feet (MCF) of gas and five barrels of oil per day. Its projects also include Killanoola Project, which holds petroleum retention license 13 (PRL13) that is located near the township of Penola in southeast South Australia.</v>
    <v>Australian Securities Exchange</v>
    <v>XASX</v>
    <v>XASX</v>
    <v>L 17 500 Collins St, MELBOURNE, VICTORIA, 3000 AU</v>
    <v>8.0000000000000002E-3</v>
    <v>Oil &amp; Gas</v>
    <v>Stock</v>
    <v>44356.127210648148</v>
    <v>1065</v>
    <v>7.4999999999999997E-3</v>
    <v>37051380</v>
    <v>RED SKY ENERGY LIMITED</v>
    <v>RED SKY ENERGY LIMITED</v>
    <v>8.0000000000000002E-3</v>
    <v>0.71</v>
    <v>7.0000000000000001E-3</v>
    <v>7.4999999999999997E-3</v>
    <v>4631422000</v>
    <v>ROG</v>
    <v>RED SKY ENERGY LIMITED (XASX:ROG)</v>
    <v>10355006</v>
    <v>2001</v>
  </rv>
  <rv s="7">
    <v>1066</v>
  </rv>
  <rv s="4">
    <v>https://www.bing.com/financeapi/forcetrigger?t=aa8iz2&amp;q=XASX%3aPCL&amp;form=skydnc</v>
    <v>Learn more on Bing</v>
  </rv>
  <rv s="18">
    <v>en-US</v>
    <v>aa8iz2</v>
    <v>268435456</v>
    <v>1</v>
    <v>Powered by Refinitiv</v>
    <v>179</v>
    <v>PANCONTINENTAL OIL &amp; GAS NL (XASX:PCL)</v>
    <v>180</v>
    <v>181</v>
    <v>Finance</v>
    <v>178</v>
    <v>4.0000000000000001E-3</v>
    <v>1E-3</v>
    <v>-0.93379999999999996</v>
    <v>0</v>
    <v>0</v>
    <v>AUD</v>
    <v>Pancontinental Oil &amp; Gas NL is an Australia-based exploration company. The principal activity of the Company is exploration for oil and gas. The Company holds assets in Kenya and Namibia. The Company is in joint venture over an offshore area in the Walvis Basin, Namibia. In Walvis Basin, the Company holds interest in EL 0037, which covers over 17,295 square kilometers on approximately three blocks. The Company holds an interest in the L6 block onshore/offshore Kenya. Its L6 block in located in Lamu Basin, Kenya. The L6 block covers an area of approximately 5,010 square kilometers. The Company's subsidiaries include Euro Pacific Energy Pty Ltd, Pancontinental Namibia Pty Ltd, Afrex Ltd and Starstrike Resources Ltd.</v>
    <v>3</v>
    <v>Australian Securities Exchange</v>
    <v>XASX</v>
    <v>XASX</v>
    <v>Level One, 10 Ord St, PERTH, WESTERN AUSTRALIA, 6005 AU</v>
    <v>1.5E-3</v>
    <v>Oil &amp; Gas</v>
    <v>Stock</v>
    <v>44356.125752314816</v>
    <v>1068</v>
    <v>1E-3</v>
    <v>9010070</v>
    <v>PANCONTINENTAL OIL &amp; GAS NL</v>
    <v>PANCONTINENTAL OIL &amp; GAS NL</v>
    <v>1E-3</v>
    <v>1</v>
    <v>1.5E-3</v>
    <v>1.5E-3</v>
    <v>6006715000</v>
    <v>PCL</v>
    <v>PANCONTINENTAL OIL &amp; GAS NL (XASX:PCL)</v>
    <v>4479444</v>
    <v>1985</v>
  </rv>
  <rv s="7">
    <v>1069</v>
  </rv>
  <rv s="4">
    <v>https://www.bing.com/financeapi/forcetrigger?t=aa7wim&amp;q=XASX%3aMSR&amp;form=skydnc</v>
    <v>Learn more on Bing</v>
  </rv>
  <rv s="19">
    <v>en-GB</v>
    <v>aa7wim</v>
    <v>268435456</v>
    <v>1</v>
    <v>Powered by Refinitiv</v>
    <v>182</v>
    <v>MANAS RESOURCES LIMITED (XASX:MSR)</v>
    <v>180</v>
    <v>183</v>
    <v>Finance</v>
    <v>178</v>
    <v>1.4E-2</v>
    <v>4.0000000000000001E-3</v>
    <v>1.7437</v>
    <v>-1E-3</v>
    <v>-8.333299999999999E-2</v>
    <v>AUD</v>
    <v>Manas Resources Limited is an Australian-based gold developer in the Kyrgyz Republic with substantial resources, drill targets and a land holding in the Tien Shan gold belt. The Company's principal activity is acquiring, exploring and developing mineral interests, prospective for precious metals and other mineral deposits. The Company's segments include Kyrgyz Republic and Corporate. The Company has a mineral resource base of approximately 1.18 million ounces of gold at the Obdilla and Shambesai prospects, which are over seven kilometers apart and are part of the South Kyrgyz Gold Project. The Company continues to advance the development of the Shambesai Gold Project (SGP) in the Tien Shan gold belt in Central Asia's Kyrgyz Republic. The South Kyrgyz Gold Project covers a land holding over five projects and a Bankable Feasibility Study (BFS) has been completed for an approximately 50,000 ounce per annum Shambesai Gold Project. Its subsidiary is Manas Holdings (Kyrgyz) Pty Ltd.</v>
    <v>Australian Securities Exchange</v>
    <v>XASX</v>
    <v>XASX</v>
    <v>Unit 9 L 2, 389 Oxford Street, Mount Hawthorn, PERTH, WESTERN AUSTRALIA, 6016 AU</v>
    <v>1.2E-2</v>
    <v>Metals &amp; Mining</v>
    <v>Stock</v>
    <v>44356.108796296299</v>
    <v>1071</v>
    <v>1.0999999999999999E-2</v>
    <v>39787480</v>
    <v>MANAS RESOURCES LIMITED</v>
    <v>MANAS RESOURCES LIMITED</v>
    <v>1.2E-2</v>
    <v>20</v>
    <v>1.2E-2</v>
    <v>1.0999999999999999E-2</v>
    <v>3315624000</v>
    <v>MSR</v>
    <v>MANAS RESOURCES LIMITED (XASX:MSR)</v>
    <v>2520386</v>
    <v>2007</v>
  </rv>
  <rv s="7">
    <v>1072</v>
  </rv>
  <rv s="4">
    <v>http://en.wikipedia.org/wiki/HSBC</v>
    <v>Wikipedia</v>
  </rv>
  <rv s="14">
    <v>1032</v>
    <v>1074</v>
  </rv>
  <rv s="15">
    <v>175</v>
    <v>https://www.bing.com/th?id=AMMS_3e122739ce5347195a9dc1c6eb9da912&amp;qlt=95</v>
    <v>1075</v>
    <v>0</v>
    <v>https://www.bing.com/images/search?form=xlimg&amp;q=hsbc+holdings+plc</v>
    <v>Image of HSBC HOLDINGS PLC</v>
  </rv>
  <rv s="4">
    <v>https://www.bing.com/financeapi/forcetrigger?t=ah4zw7&amp;q=XHKG%3a5&amp;form=skydnc</v>
    <v>Learn more on Bing</v>
  </rv>
  <rv s="17">
    <v>en-US</v>
    <v>ah4zw7</v>
    <v>268435456</v>
    <v>1</v>
    <v>Powered by Refinitiv</v>
    <v>176</v>
    <v>HSBC HOLDINGS PLC (XHKG:5)</v>
    <v>172</v>
    <v>184</v>
    <v>Finance</v>
    <v>185</v>
    <v>50.85</v>
    <v>27.5</v>
    <v>0.87450000000000006</v>
    <v>-0.25</v>
    <v>-5.1120000000000002E-3</v>
    <v>HKD</v>
    <v>HSBC Holdings plc (HSBC) is a banking and financial services company. The Company manages its products and services through three businesses: Wealth and Personal Banking (WPB), Commercial Banking (CMB), and Global Banking and Markets (GBM). It operates across various geographical regions, which include Europe, Asia, Middle East and North Africa, North America, and Latin America. WPB business offers Retail Banking, Wealth Management, Asset Management and Insurance. CMB products and services to serve the needs of commercial customers, including small and medium-sized enterprises, mid-market enterprises and corporates. It includes credit and lending, international trade and receivables finance, treasury management and liquidity solutions, commercial insurance and investments. GBM supports government, corporate and institutional clients, and private investors across the world.</v>
    <v>224652</v>
    <v>Hong Kong Stock Exchange</v>
    <v>XHKG</v>
    <v>XHKG</v>
    <v>8 Canada Square, LONDON, UNITED KINGDOM-NA, E14 5HQ GB</v>
    <v>48.9</v>
    <v>1076</v>
    <v>Banking Services</v>
    <v>Stock</v>
    <v>44356.133981481478</v>
    <v>1077</v>
    <v>48.35</v>
    <v>90844730000</v>
    <v>HSBC HOLDINGS PLC</v>
    <v>HSBC HOLDINGS PLC</v>
    <v>48.7</v>
    <v>21.58</v>
    <v>48.9</v>
    <v>48.65</v>
    <v>20426040000</v>
    <v>5</v>
    <v>HSBC HOLDINGS PLC (XHKG:5)</v>
    <v>2718754</v>
    <v>1959</v>
  </rv>
  <rv s="7">
    <v>1078</v>
  </rv>
  <rv s="4">
    <v>https://www.bing.com/financeapi/forcetrigger?t=ah3fh7&amp;q=XHKG%3a2038&amp;form=skydnc</v>
    <v>Learn more on Bing</v>
  </rv>
  <rv s="18">
    <v>en-US</v>
    <v>ah3fh7</v>
    <v>268435456</v>
    <v>1</v>
    <v>Powered by Refinitiv</v>
    <v>179</v>
    <v>FIH Mobile Limited (XHKG:2038)</v>
    <v>180</v>
    <v>186</v>
    <v>Finance</v>
    <v>185</v>
    <v>1.48</v>
    <v>0.77</v>
    <v>1.0714999999999999</v>
    <v>-0.01</v>
    <v>-8.1300000000000001E-3</v>
    <v>HKD</v>
    <v>FIH Mobile Limited is an investment holding company principally engaged in the provision of vertically integrated manufacturing services for handset industry worldwide. The Company operates its business through three segments based on the location of customers: Asia, Europe and America. The Company’s subsidiaries include Chiun Mai Communication Systems, Inc. and FIH (Hong Kong) Limited. Through its subsidiaries, the Company is also engaged in the design and manufacture of handsets.</v>
    <v>70381</v>
    <v>Hong Kong Stock Exchange</v>
    <v>XHKG</v>
    <v>XHKG</v>
    <v>No. 369 Jianshe South Road, Anci District, LANGFANG, HEBEI CN</v>
    <v>1.23</v>
    <v>Computers, Phones &amp; Household Electronics</v>
    <v>Stock</v>
    <v>44356.1327662037</v>
    <v>1080</v>
    <v>1.21</v>
    <v>9944326000</v>
    <v>FIH Mobile Limited</v>
    <v>FIH Mobile Limited</v>
    <v>1.23</v>
    <v>18.02</v>
    <v>1.23</v>
    <v>1.22</v>
    <v>8084818000</v>
    <v>2038</v>
    <v>FIH Mobile Limited (XHKG:2038)</v>
    <v>1845000</v>
    <v>2000</v>
  </rv>
  <rv s="7">
    <v>1081</v>
  </rv>
  <rv s="4">
    <v>https://www.bing.com/financeapi/forcetrigger?t=ah4pgh&amp;q=XHKG%3a3893&amp;form=skydnc</v>
    <v>Learn more on Bing</v>
  </rv>
  <rv s="20">
    <v>en-US</v>
    <v>ah4pgh</v>
    <v>268435456</v>
    <v>1</v>
    <v>Powered by Refinitiv</v>
    <v>187</v>
    <v>CROSSTEC Group Holdings Limited (XHKG:3893)</v>
    <v>180</v>
    <v>188</v>
    <v>Finance</v>
    <v>185</v>
    <v>0.39</v>
    <v>2.9000000000000001E-2</v>
    <v>0.60109999999999997</v>
    <v>0</v>
    <v>0</v>
    <v>HKD</v>
    <v>CROSSTEC Group Holdings Limited is a Hongkong-based investment holding company. The Company, along with its subsidiaries, is principally engaged in the trading of millwork, furniture and facade fabrication, as well as the provision of interior design, project consultancy and interior solutions services. The Company’s subsidiaries include Crosstec (BVI) Limited, Crosstec Group Limited, Crosstec International Limited, Crosstec Interiors Limited, Crosstec Trading Shenzhen Company Limited, as well as CX (Macau) Limited, among others. The Company mainly operates its business in Hongkong, Peoples Republic of China (PRC), Europe, The Americas, Middle East and Asia (excluding Hongkong and PRC).</v>
    <v>37</v>
    <v>Hong Kong Stock Exchange</v>
    <v>XHKG</v>
    <v>XHKG</v>
    <v>20/F., 625 Kings Road, North Point HK</v>
    <v>Homebuilding &amp; Construction Supplies</v>
    <v>Stock</v>
    <v>44356</v>
    <v>1083</v>
    <v>205200000</v>
    <v>CROSSTEC Group Holdings Limited</v>
    <v>CROSSTEC Group Holdings Limited</v>
    <v>21.41</v>
    <v>0.28499999999999998</v>
    <v>0.28499999999999998</v>
    <v>720000000</v>
    <v>3893</v>
    <v>CROSSTEC Group Holdings Limited (XHKG:3893)</v>
    <v>510000</v>
    <v>2016</v>
  </rv>
  <rv s="7">
    <v>1084</v>
  </rv>
  <rv s="4">
    <v>https://www.bing.com/financeapi/forcetrigger?t=ah6zrw&amp;q=XHKG%3a941&amp;form=skydnc</v>
    <v>Learn more on Bing</v>
  </rv>
  <rv s="18">
    <v>en-US</v>
    <v>ah6zrw</v>
    <v>268435456</v>
    <v>1</v>
    <v>Powered by Refinitiv</v>
    <v>179</v>
    <v>China Mobile Limited (XHKG:941)</v>
    <v>180</v>
    <v>186</v>
    <v>Finance</v>
    <v>185</v>
    <v>60.4</v>
    <v>39</v>
    <v>0.73050000000000004</v>
    <v>0.35</v>
    <v>7.1940000000000007E-3</v>
    <v>HKD</v>
    <v>China Mobile Limited is an investment holding company principally engaged in telecommunication and related businesses. Its main businesses include Mobile businesses, Wireline Broadband businesses and Internet of Things (IoT) businesses. Mobile businesses include two categories of services. Voice services include local calls, domestic and international long distance calls, roaming services and voice value-added services. Data services include short message services and multimedia message services, wireless data traffic services and application and information services, such as Mobile Music, Mobile Reading and Mobile Video, among others. Wireline Broadband businesses include the provision of wireline broadband and related services. The Company also provides customer services, including phone bill enquiry, among others. The Company mainly operates businesses in Mainland China.</v>
    <v>454332</v>
    <v>Hong Kong Stock Exchange</v>
    <v>XHKG</v>
    <v>XHKG</v>
    <v>No. 29, Financial Street, Xicheng District, BEIJING, BEIJING, 100032 CN</v>
    <v>49.1</v>
    <v>Telecommunications Services</v>
    <v>Stock</v>
    <v>44356.134513888886</v>
    <v>1086</v>
    <v>48.5</v>
    <v>996132300000</v>
    <v>China Mobile Limited</v>
    <v>China Mobile Limited</v>
    <v>48.5</v>
    <v>7.83</v>
    <v>48.65</v>
    <v>49</v>
    <v>20475480000</v>
    <v>941</v>
    <v>China Mobile Limited (XHKG:941)</v>
    <v>4181911</v>
    <v>1997</v>
  </rv>
  <rv s="7">
    <v>1087</v>
  </rv>
  <rv s="4">
    <v>https://www.bing.com/financeapi/forcetrigger?t=ah5qjc&amp;q=XHKG%3a736&amp;form=skydnc</v>
    <v>Learn more on Bing</v>
  </rv>
  <rv s="21">
    <v>en-US</v>
    <v>ah5qjc</v>
    <v>268435456</v>
    <v>1</v>
    <v>Powered by Refinitiv</v>
    <v>189</v>
    <v>CHINA PROPERTIES INVESTMENT HOLDINGS LIMITED (XHKG:736)</v>
    <v>180</v>
    <v>190</v>
    <v>Finance</v>
    <v>185</v>
    <v>1.38</v>
    <v>0.5</v>
    <v>0.44619999999999999</v>
    <v>-0.01</v>
    <v>-1.1493999999999999E-2</v>
    <v>HKD</v>
    <v>China Properties Investment Holdings Limited is a Hong Kong-based investment holding company principally engaged in education support businesses. The Company mainly operates through three segments. Properties Investment segment is engaged in the leasing of investment properties to generate rental income. Educational Support segment is engaged in the provision of students referral services to overseas schools, overseas education counseling and schools enrolling services of students, the trading of educational software and hardware, as well as the provision of education, skill training and education consultation services. Money Lending segment is engaged in loan businesses to receive interests.</v>
    <v>38</v>
    <v>Hong Kong Stock Exchange</v>
    <v>XHKG</v>
    <v>XHKG</v>
    <v>Rooms 4303, 43/F, China Resources Building, 26 Harbour Road, Wanchai HK</v>
    <v>0.86</v>
    <v>Real Estate Operations</v>
    <v>Stock</v>
    <v>44356.121805555558</v>
    <v>1089</v>
    <v>0.86</v>
    <v>116217500</v>
    <v>CHINA PROPERTIES INVESTMENT HOLDINGS LIMITED</v>
    <v>CHINA PROPERTIES INVESTMENT HOLDINGS LIMITED</v>
    <v>0.86</v>
    <v>0.87</v>
    <v>0.86</v>
    <v>133583300</v>
    <v>736</v>
    <v>CHINA PROPERTIES INVESTMENT HOLDINGS LIMITED (XHKG:736)</v>
    <v>3000</v>
    <v>1992</v>
  </rv>
  <rv s="7">
    <v>1090</v>
  </rv>
  <rv s="4">
    <v>https://www.bing.com/financeapi/forcetrigger?t=ah5u52&amp;q=XHKG%3a8&amp;form=skydnc</v>
    <v>Learn more on Bing</v>
  </rv>
  <rv s="18">
    <v>en-US</v>
    <v>ah5u52</v>
    <v>268435456</v>
    <v>1</v>
    <v>Powered by Refinitiv</v>
    <v>179</v>
    <v>PCCW LIMITED (XHKG:8)</v>
    <v>180</v>
    <v>186</v>
    <v>Finance</v>
    <v>185</v>
    <v>5.0599999999999996</v>
    <v>4.1500000000000004</v>
    <v>0.51690000000000003</v>
    <v>-5.0000000000000001E-3</v>
    <v>-1.196E-3</v>
    <v>HKD</v>
    <v>PCCW Limited (PCCW) is an investment holding company. The Company's Pacific Century Premium Developments (PCPD) is focused on development projects in Indonesia, Japan and Thailand. The Company's segments include HKT Limited, Media Business, Solutions Business, PCPD and Other Businesses. It is engaged in the provision of telecommunications and related services, which include local telephony, local data and broadband, international telecommunications, mobile, and other telecommunications businesses, such as customer premises equipment sales; the provision of pay-television (pay-TV) services, Internet portal digital media entertainment platform in the Hong Kong Special Administrative Region and other parts of the world; investments in, and development of, systems integration, network engineering and technology-related businesses, and development and management of property and infrastructure projects, as well as property investments.</v>
    <v>22900</v>
    <v>Hong Kong Stock Exchange</v>
    <v>XHKG</v>
    <v>XHKG</v>
    <v>41st Floor, PCCW Tower, Taikoo Place, 979 King's Road, Quarry Bay HK</v>
    <v>4.2</v>
    <v>Telecommunications Services</v>
    <v>Stock</v>
    <v>44356.134432870371</v>
    <v>1092</v>
    <v>4.17</v>
    <v>32464480000</v>
    <v>PCCW LIMITED</v>
    <v>PCCW LIMITED</v>
    <v>4.18</v>
    <v>50.85</v>
    <v>4.18</v>
    <v>4.1749999999999998</v>
    <v>7729638000</v>
    <v>8</v>
    <v>PCCW LIMITED (XHKG:8)</v>
    <v>3607095</v>
    <v>1979</v>
  </rv>
  <rv s="7">
    <v>1093</v>
  </rv>
  <rv s="4">
    <v>https://www.bing.com/financeapi/forcetrigger?t=ah2ih7&amp;q=XHKG%3a1299&amp;form=skydnc</v>
    <v>Learn more on Bing</v>
  </rv>
  <rv s="18">
    <v>en-US</v>
    <v>ah2ih7</v>
    <v>268435456</v>
    <v>1</v>
    <v>Powered by Refinitiv</v>
    <v>179</v>
    <v>AIA Group Limited (XHKG:1299)</v>
    <v>180</v>
    <v>186</v>
    <v>Finance</v>
    <v>185</v>
    <v>109.3</v>
    <v>68.849999999999994</v>
    <v>1.0952</v>
    <v>-0.1</v>
    <v>-1.031E-3</v>
    <v>HKD</v>
    <v>AIA Group Limited is an investment holding company principally engaged in the provision of life insurance. The products and services mainly include life insurance, accident and health insurance and savings plans, as well as employee benefits, credit insurance and pension services to corporate clients. The Company operates through eight business segments: Hong Kong, Thailand, Singapore, Malaysia, China, Korea, Other Markets and Group Corporate Centre. Other Markets segment includes the operations in Australia, Indonesia, New Zealand, the Philippines, Sri Lanka, Taiwan, Vietnam and India.</v>
    <v>23397</v>
    <v>Hong Kong Stock Exchange</v>
    <v>XHKG</v>
    <v>XHKG</v>
    <v>AIA Wealth Select Centre, 12/F, AIA Tower, 183 Electric Road, North Point HK</v>
    <v>97.6</v>
    <v>Insurance</v>
    <v>Stock</v>
    <v>44356.134548611109</v>
    <v>1095</v>
    <v>96.6</v>
    <v>1177608000000</v>
    <v>AIA Group Limited</v>
    <v>AIA Group Limited</v>
    <v>97.15</v>
    <v>26.09</v>
    <v>97</v>
    <v>96.9</v>
    <v>12096640000</v>
    <v>1299</v>
    <v>AIA Group Limited (XHKG:1299)</v>
    <v>5026759</v>
    <v>2009</v>
  </rv>
  <rv s="7">
    <v>1096</v>
  </rv>
  <rv s="4">
    <v>https://www.bing.com/financeapi/forcetrigger?t=ah4cyc&amp;q=XHKG%3a3300&amp;form=skydnc</v>
    <v>Learn more on Bing</v>
  </rv>
  <rv s="18">
    <v>en-US</v>
    <v>ah4cyc</v>
    <v>268435456</v>
    <v>1</v>
    <v>Powered by Refinitiv</v>
    <v>179</v>
    <v>CHINA GLASS HOLDINGS LIMITED (XHKG:3300)</v>
    <v>180</v>
    <v>186</v>
    <v>Finance</v>
    <v>185</v>
    <v>1.65</v>
    <v>0.34</v>
    <v>1.8129</v>
    <v>0.03</v>
    <v>2.0133999999999999E-2</v>
    <v>HKD</v>
    <v>China Glass Holdings Limited is principally engaged in the production, marketing and distribution of glass and glass products and the development of glass production technology. The Company operates its business through four segments. The Clear Glass Products segment is engaged in the production, marketing and distribution of clear glass products. The Painted Glass Products segment is engaged in the production, marketing and distribution of painted glass products. The Coated Glass Products segment is engaged in the production, marketing and distribution of coated glass products. The Energy Saving and New Energy Glass Products segment is engaged in the production, marketing and distribution of energy saving and new energy glass products, such as low-emission coated glass and photovoltaic battery module products.</v>
    <v>3497</v>
    <v>Hong Kong Stock Exchange</v>
    <v>XHKG</v>
    <v>XHKG</v>
    <v>Room 2608, 26/F, West Tower, Shun Tak Centre, 168-200 Connaught Road Central, Central HK</v>
    <v>1.65</v>
    <v>Homebuilding &amp; Construction Supplies</v>
    <v>Stock</v>
    <v>44356.133819444447</v>
    <v>1098</v>
    <v>1.42</v>
    <v>2443698000</v>
    <v>CHINA GLASS HOLDINGS LIMITED</v>
    <v>CHINA GLASS HOLDINGS LIMITED</v>
    <v>1.49</v>
    <v>6.97</v>
    <v>1.49</v>
    <v>1.52</v>
    <v>1810147000</v>
    <v>3300</v>
    <v>CHINA GLASS HOLDINGS LIMITED (XHKG:3300)</v>
    <v>23648000</v>
    <v>2004</v>
  </rv>
  <rv s="7">
    <v>1099</v>
  </rv>
  <rv s="4">
    <v>https://www.bing.com/financeapi/forcetrigger?t=ah262w&amp;q=XHKG%3a1128&amp;form=skydnc</v>
    <v>Learn more on Bing</v>
  </rv>
  <rv s="18">
    <v>en-US</v>
    <v>ah262w</v>
    <v>268435456</v>
    <v>1</v>
    <v>Powered by Refinitiv</v>
    <v>179</v>
    <v>Wynn Macau, Limited (XHKG:1128)</v>
    <v>180</v>
    <v>186</v>
    <v>Finance</v>
    <v>185</v>
    <v>16.68</v>
    <v>10.52</v>
    <v>1.4974000000000001</v>
    <v>0.14000000000000001</v>
    <v>1.0736000000000001E-2</v>
    <v>HKD</v>
    <v>Wynn Macau, Limited is an holding company principally engaged in the development, owning and operation of destination casino gaming and entertainment resort facilities. The Company operates through two business segments: Wynn Macau and Wynn Palace. The Wynn Macau segment is engaged in the operation of a hotel and destination casino resort in Macau. The Wynn Palace is a project under development. The Company is also involved in the entity facilitates lending business within the Company through its subsidiaries.</v>
    <v>13000</v>
    <v>Hong Kong Stock Exchange</v>
    <v>XHKG</v>
    <v>XHKG</v>
    <v>Rua Cidade de Sintra, NAPE MO</v>
    <v>13.22</v>
    <v>Hotels &amp; Entertainment Services</v>
    <v>Stock</v>
    <v>44356.134155092594</v>
    <v>1101</v>
    <v>12.92</v>
    <v>68096200000</v>
    <v>Wynn Macau, Limited</v>
    <v>Wynn Macau, Limited</v>
    <v>13</v>
    <v>34.090000000000003</v>
    <v>13.04</v>
    <v>13.18</v>
    <v>5206132000</v>
    <v>1128</v>
    <v>Wynn Macau, Limited (XHKG:1128)</v>
    <v>647434</v>
    <v>2006</v>
  </rv>
  <rv s="7">
    <v>1102</v>
  </rv>
  <rv s="4">
    <v>https://www.bing.com/financeapi/forcetrigger?t=ah2ooc&amp;q=XHKG%3a1398&amp;form=skydnc</v>
    <v>Learn more on Bing</v>
  </rv>
  <rv s="18">
    <v>en-US</v>
    <v>ah2ooc</v>
    <v>268435456</v>
    <v>1</v>
    <v>Powered by Refinitiv</v>
    <v>179</v>
    <v>INDUSTRIAL AND COMMERCIAL BANK OF CHINA LIMITED (XHKG:1398)</v>
    <v>180</v>
    <v>186</v>
    <v>Finance</v>
    <v>185</v>
    <v>5.75</v>
    <v>3.96</v>
    <v>0.85199999999999998</v>
    <v>0</v>
    <v>0</v>
    <v>HKD</v>
    <v>Industrial and Commercial Bank of China Ltd is a China-based company principally engaged in the provision of banking and related financial services. The Bank mainly operates three segments, including Corporate Banking segment, Personal Banking segment and Treasury segment. The Corporate Banking segment provides loan, trade financing, deposit, corporate finance, custody and other related financial products and services to enterprises, government agencies and financial institutions. The Personal Banking segment provides loan, deposit, bank card, personal finance and other related financial products and services to individual customers. Treasury segment includes money markets business, securities investment business, self and valet foreign exchange trading and derivative financial instruments business. The Company conducts its businesses within domestic and overseas markets.</v>
    <v>439787</v>
    <v>Hong Kong Stock Exchange</v>
    <v>XHKG</v>
    <v>XHKG</v>
    <v>No. 55 Fuxingmennei Avenue, Xicheng District, BEIJING, BEIJING, 100140 CN</v>
    <v>5.0599999999999996</v>
    <v>Banking Services</v>
    <v>Stock</v>
    <v>44356.134548611109</v>
    <v>1104</v>
    <v>5.01</v>
    <v>2239733000000</v>
    <v>INDUSTRIAL AND COMMERCIAL BANK OF CHINA LIMITED</v>
    <v>INDUSTRIAL AND COMMERCIAL BANK OF CHINA LIMITED</v>
    <v>5.05</v>
    <v>4.93</v>
    <v>5.04</v>
    <v>5.04</v>
    <v>356551300000</v>
    <v>1398</v>
    <v>INDUSTRIAL AND COMMERCIAL BANK OF CHINA LIMITED (XHKG:1398)</v>
    <v>62959047</v>
    <v>1985</v>
  </rv>
  <rv s="7">
    <v>1105</v>
  </rv>
  <rv s="4">
    <v>https://www.bing.com/financeapi/forcetrigger?t=ah6zm7&amp;q=XHKG%3a939&amp;form=skydnc</v>
    <v>Learn more on Bing</v>
  </rv>
  <rv s="18">
    <v>en-GB</v>
    <v>ah6zm7</v>
    <v>268435456</v>
    <v>1</v>
    <v>Powered by Refinitiv</v>
    <v>179</v>
    <v>CHINA CONSTRUCTION BANK CORPORATION (XHKG:939)</v>
    <v>180</v>
    <v>186</v>
    <v>Finance</v>
    <v>185</v>
    <v>6.74</v>
    <v>4.93</v>
    <v>1.0225</v>
    <v>0.02</v>
    <v>3.2000000000000002E-3</v>
    <v>HKD</v>
    <v>CHINA CONSTRUCTION BANK CORPORATION is a commercial bank. The Bank operates its businesses through corporate banking businesses, including corporate deposit, corporate credit loan, asset custody, enterprise annuity, trade financing, international settlement, international financing and value-added services, among others, personal banking businesses, including personal deposit, loan, bank card services, private bank services, foreign exchange trading and gold trading services, among others, and capital business. The Bank operates its businesses in domestic and overseas markets.</v>
    <v>349671</v>
    <v>Hong Kong Stock Exchange</v>
    <v>XHKG</v>
    <v>XHKG</v>
    <v>No. 25, Financial Avenue, Xicheng District, BEIJING, BEIJING, 100033 CN</v>
    <v>6.29</v>
    <v>Banking Services</v>
    <v>Stock</v>
    <v>44356.134502314817</v>
    <v>1107</v>
    <v>6.24</v>
    <v>1569485000000</v>
    <v>CHINA CONSTRUCTION BANK CORPORATION</v>
    <v>CHINA CONSTRUCTION BANK CORPORATION</v>
    <v>6.25</v>
    <v>4.9400000000000004</v>
    <v>6.25</v>
    <v>6.27</v>
    <v>250011000000</v>
    <v>939</v>
    <v>CHINA CONSTRUCTION BANK CORPORATION (XHKG:939)</v>
    <v>45387205</v>
    <v>2004</v>
  </rv>
  <rv s="7">
    <v>1108</v>
  </rv>
  <rv s="4">
    <v>https://www.bing.com/financeapi/forcetrigger?t=ah4mr7&amp;q=XHKG%3a3799&amp;form=skydnc</v>
    <v>Learn more on Bing</v>
  </rv>
  <rv s="18">
    <v>en-US</v>
    <v>ah4mr7</v>
    <v>268435456</v>
    <v>1</v>
    <v>Powered by Refinitiv</v>
    <v>179</v>
    <v>Dali Foods Group Company Limited (XHKG:3799)</v>
    <v>180</v>
    <v>186</v>
    <v>Finance</v>
    <v>185</v>
    <v>5.48</v>
    <v>4.2699999999999996</v>
    <v>0.1104</v>
    <v>0.01</v>
    <v>2.062E-3</v>
    <v>HKD</v>
    <v>Dali Foods Group Company Limited is an investment holding company principally engaged in the manufacture and sale of food and beverage in Mainland China. The Company operates its business through two segments: Manufacturing and Sale of Food segment and Manufacturing and Sale of Beverage segment. The Company’s subsidiaries include Jilin Dali Foods Co., Ltd., Gansu Dali Foods Co., Ltd. and Jinan Dali Foods Co., Ltd..</v>
    <v>39216</v>
    <v>Hong Kong Stock Exchange</v>
    <v>XHKG</v>
    <v>XHKG</v>
    <v>Linkou Village, Zishan Town, Huian County, QUANZHOU, FUJIAN CN</v>
    <v>4.87</v>
    <v>Food &amp; Tobacco</v>
    <v>Stock</v>
    <v>44356.134270833332</v>
    <v>1110</v>
    <v>4.8</v>
    <v>67101170000</v>
    <v>Dali Foods Group Company Limited</v>
    <v>Dali Foods Group Company Limited</v>
    <v>4.8499999999999996</v>
    <v>14.56</v>
    <v>4.8499999999999996</v>
    <v>4.8600000000000003</v>
    <v>13694120000</v>
    <v>3799</v>
    <v>Dali Foods Group Company Limited (XHKG:3799)</v>
    <v>236500</v>
    <v>2014</v>
  </rv>
  <rv s="7">
    <v>1111</v>
  </rv>
  <rv s="4">
    <v>https://www.bing.com/financeapi/forcetrigger?t=ah6tnm&amp;q=XHKG%3a87001&amp;form=skydnc</v>
    <v>Learn more on Bing</v>
  </rv>
  <rv s="22">
    <v>en-GB</v>
    <v>ah6tnm</v>
    <v>268435456</v>
    <v>1</v>
    <v>Powered by Refinitiv</v>
    <v>191</v>
    <v>HUI XIAN REIT UNT (XHKG:87001)</v>
    <v>192</v>
    <v>193</v>
    <v>Finance</v>
    <v>185</v>
    <v>2.2200000000000002</v>
    <v>1.36</v>
    <v>-0.01</v>
    <v>-5.6179999999999997E-3</v>
    <v>CNY</v>
    <v>Hong Kong Stock Exchange</v>
    <v>XHKG</v>
    <v>1.77</v>
    <v>ETF</v>
    <v>44356.11922453704</v>
    <v>1113</v>
    <v>1.77</v>
    <v>HUI XIAN REIT UNT</v>
    <v>1.77</v>
    <v>1.78</v>
    <v>1.77</v>
    <v>87001</v>
    <v>HUI XIAN REIT UNT (XHKG:87001)</v>
    <v>197018</v>
  </rv>
  <rv s="7">
    <v>1114</v>
  </rv>
  <rv s="4">
    <v>https://www.bing.com/financeapi/forcetrigger?t=ah4rhw&amp;q=XHKG%3a3988&amp;form=skydnc</v>
    <v>Learn more on Bing</v>
  </rv>
  <rv s="18">
    <v>en-GB</v>
    <v>ah4rhw</v>
    <v>268435456</v>
    <v>1</v>
    <v>Powered by Refinitiv</v>
    <v>179</v>
    <v>BANK OF CHINA LIMITED (XHKG:3988)</v>
    <v>180</v>
    <v>186</v>
    <v>Finance</v>
    <v>185</v>
    <v>3.19</v>
    <v>2.33</v>
    <v>0.877</v>
    <v>-0.02</v>
    <v>-7.0179999999999999E-3</v>
    <v>HKD</v>
    <v>BANK OF CHINA LIMITED is a China-based commercial bank. The Bank is mainly engaged in the provision of banking and related financial services, including commercial banking business, investment banking business, insurance business, direct investments and investment management businesses, fund management business and aircraft leasing business, as well as others. The Company mainly provides loans to individual and corporate clients. The Bank mainly operates its businesses in China mainland, Hong Kong, Macau and Taiwan, as well as other countries.</v>
    <v>309084</v>
    <v>Hong Kong Stock Exchange</v>
    <v>XHKG</v>
    <v>XHKG</v>
    <v>No. 1 Fuxingmennei Avenue, Xicheng District, BEIJING, BEIJING, 100818 CN</v>
    <v>2.87</v>
    <v>Banking Services</v>
    <v>Stock</v>
    <v>44356.134594907409</v>
    <v>1116</v>
    <v>2.83</v>
    <v>1196948000000</v>
    <v>BANK OF CHINA LIMITED</v>
    <v>BANK OF CHINA LIMITED</v>
    <v>2.87</v>
    <v>3.85</v>
    <v>2.85</v>
    <v>2.83</v>
    <v>294585700000</v>
    <v>3988</v>
    <v>BANK OF CHINA LIMITED (XHKG:3988)</v>
    <v>83715682</v>
    <v>1983</v>
  </rv>
  <rv s="7">
    <v>1117</v>
  </rv>
  <rv s="4">
    <v>https://www.bing.com/financeapi/forcetrigger?t=ah6umw&amp;q=XHKG%3a883&amp;form=skydnc</v>
    <v>Learn more on Bing</v>
  </rv>
  <rv s="18">
    <v>en-GB</v>
    <v>ah6umw</v>
    <v>268435456</v>
    <v>1</v>
    <v>Powered by Refinitiv</v>
    <v>179</v>
    <v>CNOOC LIMITED (XHKG:883)</v>
    <v>180</v>
    <v>186</v>
    <v>Finance</v>
    <v>185</v>
    <v>10.6</v>
    <v>6.5</v>
    <v>1.0519000000000001</v>
    <v>0.26</v>
    <v>2.9679999999999998E-2</v>
    <v>HKD</v>
    <v>CNOOC Limited is a Hong Kong-based investment holding company principally engaged in the exploration, production and trading of oil and gas. Its businesses include conventional oil and gas businesses, shale oil and gas businesses, oil sands businesses and other unconventional oil and gas businesses. The Company mainly operates businesses through three segments. The Exploration and Production segment is engaged in the exploration, development and production of crude oil, natural gas and other petroleum products. The Trading segment is engaged in the trading of crude oil, natural gas and other petroleum products. The Corporate segment is engaged in corporate-related businesses. The Company mainly operates businesses in China, Canada, the United Kingdom, Nigeria, Indonesia and Brazil, among others.</v>
    <v>18151</v>
    <v>Hong Kong Stock Exchange</v>
    <v>XHKG</v>
    <v>XHKG</v>
    <v>No.25 Chaoyangmen Beidajie, Dongcheng District, BEIJING, BEIJING, 100010 CN</v>
    <v>9.02</v>
    <v>Oil &amp; Gas</v>
    <v>Stock</v>
    <v>44356.134571759256</v>
    <v>1119</v>
    <v>8.77</v>
    <v>389325800000</v>
    <v>CNOOC LIMITED</v>
    <v>CNOOC LIMITED</v>
    <v>8.85</v>
    <v>13.58</v>
    <v>8.76</v>
    <v>9.02</v>
    <v>44647460000</v>
    <v>883</v>
    <v>CNOOC LIMITED (XHKG:883)</v>
    <v>105669352</v>
    <v>1999</v>
  </rv>
  <rv s="7">
    <v>1120</v>
  </rv>
  <rv s="4">
    <v>https://www.bing.com/financeapi/forcetrigger?t=ah1zu2&amp;q=XHKG%3a1060&amp;form=skydnc</v>
    <v>Learn more on Bing</v>
  </rv>
  <rv s="18">
    <v>en-GB</v>
    <v>ah1zu2</v>
    <v>268435456</v>
    <v>1</v>
    <v>Powered by Refinitiv</v>
    <v>179</v>
    <v>Alibaba Pictures Group Limited (XHKG:1060)</v>
    <v>180</v>
    <v>186</v>
    <v>Finance</v>
    <v>185</v>
    <v>1.47</v>
    <v>0.91</v>
    <v>0.67589999999999995</v>
    <v>0.02</v>
    <v>1.8519000000000001E-2</v>
    <v>HKD</v>
    <v>Alibaba Pictures Group Ltd is an investment holding company principally engaged in the movie promotion and distribution. The Company operates its business through three segments. The Internet-based Promotion and Distribution segment engages in the operation of integrated online to offline (O2O) platform for the promotion and distribution of entertainment content, and the provision of online movie ticketing service to consumers and ticket issuance system to cinemas. The Content Production segment engages in the investment and production of entertainment content such as film and drama series both domestically and internationally. The Integrated Development segment provides professional services centered around copyright, ranging from financing, business placement, promotion and distribution to merchandising.</v>
    <v>1025</v>
    <v>Hong Kong Stock Exchange</v>
    <v>XHKG</v>
    <v>XHKG</v>
    <v>26/F, Tower one, Times Square, 1 Matheson Street, Causeway Bay HK</v>
    <v>1.1100000000000001</v>
    <v>Media &amp; Publishing</v>
    <v>Stock</v>
    <v>44356.133680555555</v>
    <v>1122</v>
    <v>1.07</v>
    <v>28176690000</v>
    <v>Alibaba Pictures Group Limited</v>
    <v>Alibaba Pictures Group Limited</v>
    <v>1.08</v>
    <v>201.43</v>
    <v>1.08</v>
    <v>1.1000000000000001</v>
    <v>26834950000</v>
    <v>1060</v>
    <v>Alibaba Pictures Group Limited (XHKG:1060)</v>
    <v>19330000</v>
    <v>1994</v>
  </rv>
  <rv s="7">
    <v>1123</v>
  </rv>
  <rv s="4">
    <v>https://www.bing.com/financeapi/forcetrigger?t=ah35im&amp;q=XHKG%3a175&amp;form=skydnc</v>
    <v>Learn more on Bing</v>
  </rv>
  <rv s="23">
    <v>en-GB</v>
    <v>ah35im</v>
    <v>268435456</v>
    <v>1</v>
    <v>Powered by Refinitiv</v>
    <v>194</v>
    <v>GEELY AUTOMOBILE HOLDINGS LIMITED (XHKG:175)</v>
    <v>180</v>
    <v>195</v>
    <v>Finance</v>
    <v>185</v>
    <v>36.450000000000003</v>
    <v>11.4</v>
    <v>1.4823</v>
    <v>0.15</v>
    <v>7.0089999999999996E-3</v>
    <v>HKD</v>
    <v>Geely Automobile Holdings Ltd is an investment holding company principally engaged in the production and sales of automobiles. The Company mainly develops, manufactures and sells automobiles, including cars, sport utility vehicles (SUVs), new energy and electrified vehicles. The Company's car types include home, travel and sports. The Company's new energy and electrified vehicles include electric vehicles, battery electric vehicles, hybrid electric vehicles, mild hybrid electric vehicles and plug-in hybrid electric vehicles. In addition, the Company produces and sells automobile parts and related automobile components. The Company also sells licenses for its intellectual property.</v>
    <v>38000</v>
    <v>Hong Kong Stock Exchange</v>
    <v>XHKG</v>
    <v>XHKG</v>
    <v>Room 2301, 23rd Floor, Great Eagle Centre, 23 Harbour Road, Wan Chai HK</v>
    <v>21.6</v>
    <v>Automobiles &amp; Auto Parts</v>
    <v>Stock</v>
    <v>44356.134479166663</v>
    <v>1125</v>
    <v>20.8</v>
    <v>207208400000</v>
    <v>GEELY AUTOMOBILE HOLDINGS LIMITED</v>
    <v>GEELY AUTOMOBILE HOLDINGS LIMITED</v>
    <v>21.05</v>
    <v>32.21</v>
    <v>21.4</v>
    <v>21.55</v>
    <v>9820302000</v>
    <v>175</v>
    <v>GEELY AUTOMOBILE HOLDINGS LIMITED (XHKG:175)</v>
    <v>19378756</v>
  </rv>
  <rv s="7">
    <v>1126</v>
  </rv>
  <rv s="4">
    <v>https://www.bing.com/financeapi/forcetrigger?t=ah558m&amp;q=XHKG%3a559&amp;form=skydnc</v>
    <v>Learn more on Bing</v>
  </rv>
  <rv s="18">
    <v>en-GB</v>
    <v>ah558m</v>
    <v>268435456</v>
    <v>1</v>
    <v>Powered by Refinitiv</v>
    <v>179</v>
    <v>DeTai New Energy Group Limited (XHKG:559)</v>
    <v>180</v>
    <v>186</v>
    <v>Finance</v>
    <v>185</v>
    <v>7.8E-2</v>
    <v>0.01</v>
    <v>0.65669999999999995</v>
    <v>0</v>
    <v>0</v>
    <v>HKD</v>
    <v>DeTai New Energy Group Limited is a Hong Kong-based investment holding company engaged in electric cycles, wine and financial businesses. The Company operates through four segments. Electric Cycles segment is engaged in the manufacture and trading of electric cycles. Liquor and Wine segment is engaged in the trading and distribution of grape wine and other liquor products. Money Lending segment is engaged in the provision of money lending services. Investment in Listed Securities segment is engaged in the investment in listed securities.</v>
    <v>84</v>
    <v>Hong Kong Stock Exchange</v>
    <v>XHKG</v>
    <v>XHKG</v>
    <v>Room 2702, 27th Floor, China Resources Building, 26 Harbour Road, Wan Chai HK</v>
    <v>5.5E-2</v>
    <v>Machinery, Equipment &amp; Components</v>
    <v>Stock</v>
    <v>44356.118113425924</v>
    <v>1128</v>
    <v>5.5E-2</v>
    <v>831863200</v>
    <v>DeTai New Energy Group Limited</v>
    <v>DeTai New Energy Group Limited</v>
    <v>5.5E-2</v>
    <v>90.74</v>
    <v>5.5E-2</v>
    <v>5.5E-2</v>
    <v>15695530000</v>
    <v>559</v>
    <v>DeTai New Energy Group Limited (XHKG:559)</v>
    <v>2550000</v>
    <v>1996</v>
  </rv>
  <rv s="7">
    <v>1129</v>
  </rv>
  <rv s="4">
    <v>https://www.bing.com/financeapi/forcetrigger?t=ah4mzr&amp;q=XHKG%3a3800&amp;form=skydnc</v>
    <v>Learn more on Bing</v>
  </rv>
  <rv s="20">
    <v>en-GB</v>
    <v>ah4mzr</v>
    <v>268435456</v>
    <v>1</v>
    <v>Powered by Refinitiv</v>
    <v>187</v>
    <v>GCL-Poly Energy Holdings Limited (XHKG:3800)</v>
    <v>180</v>
    <v>188</v>
    <v>Finance</v>
    <v>185</v>
    <v>3.88</v>
    <v>0.214</v>
    <v>2.68</v>
    <v>0</v>
    <v>0</v>
    <v>HKD</v>
    <v>GCL-Poly Energy Holdings Limited is principally engaged in the manufacture and sale of polysilicon and wafers for solar industry, as well as the development, construction, operation and management of solar farms. The Company operates through three business segments. The Solar Material segment is engaged in the manufacture and sale of polysilicon and wafer to companies in the solar industry. The Solar Farm segment is engaged in the management and operation of solar farms located in the United States and the People's Republic of China. The New Energy segment is engaged in the development, construction, operation and management of solar farms and the manufacture and sale of printed circuit boards.</v>
    <v>13106</v>
    <v>Hong Kong Stock Exchange</v>
    <v>XHKG</v>
    <v>XHKG</v>
    <v>Unit 1703B-1706, Level 17, International Commerce Centre, 1 Austin Road West, Kowloon HK</v>
    <v>Renewable Energy</v>
    <v>Stock</v>
    <v>44286</v>
    <v>1131</v>
    <v>49623600000</v>
    <v>GCL-Poly Energy Holdings Limited</v>
    <v>GCL-Poly Energy Holdings Limited</v>
    <v>13.2</v>
    <v>1.98</v>
    <v>1.98</v>
    <v>25062420000</v>
    <v>3800</v>
    <v>GCL-Poly Energy Holdings Limited (XHKG:3800)</v>
    <v>405622690</v>
    <v>2006</v>
  </rv>
  <rv s="7">
    <v>1132</v>
  </rv>
  <rv s="4">
    <v>https://www.bing.com/financeapi/forcetrigger?t=ah1vim&amp;q=XHKG%3a10&amp;form=skydnc</v>
    <v>Learn more on Bing</v>
  </rv>
  <rv s="18">
    <v>en-GB</v>
    <v>ah1vim</v>
    <v>268435456</v>
    <v>1</v>
    <v>Powered by Refinitiv</v>
    <v>179</v>
    <v>HANG LUNG GROUP LIMITED (XHKG:10)</v>
    <v>180</v>
    <v>186</v>
    <v>Finance</v>
    <v>185</v>
    <v>21.6</v>
    <v>15.78</v>
    <v>1.133</v>
    <v>0.15</v>
    <v>7.4439999999999992E-3</v>
    <v>HKD</v>
    <v>Hang Lung Group Ltd is an investment holding company principally engaged in the property leasing business. The Company operates its business through two segments. The Property Leasing segments engages in the property leasing operation. The Company’s investment properties portfolio consists of retail, office, residential, serviced apartments and car parks, are primarily located in mainland China and Hong Kong. Property Sales segment engages in the development and sale of the trading properties in mainland China and Hong Kong.</v>
    <v>4618</v>
    <v>Hong Kong Stock Exchange</v>
    <v>XHKG</v>
    <v>XHKG</v>
    <v>28F, Standard Chartered Bank Building, 4 Des Voeux Road Central, Central HK</v>
    <v>20.3</v>
    <v>Real Estate Operations</v>
    <v>Stock</v>
    <v>44356.132534722223</v>
    <v>1134</v>
    <v>19.7</v>
    <v>27205130000</v>
    <v>HANG LUNG GROUP LIMITED</v>
    <v>HANG LUNG GROUP LIMITED</v>
    <v>20.2</v>
    <v>17.71</v>
    <v>20.149999999999999</v>
    <v>20.3</v>
    <v>1361618000</v>
    <v>10</v>
    <v>HANG LUNG GROUP LIMITED (XHKG:10)</v>
    <v>88000</v>
    <v>1960</v>
  </rv>
  <rv s="7">
    <v>1135</v>
  </rv>
  <rv s="4">
    <v>https://www.bing.com/financeapi/forcetrigger?t=ah23m7&amp;q=XHKG%3a11&amp;form=skydnc</v>
    <v>Learn more on Bing</v>
  </rv>
  <rv s="18">
    <v>en-GB</v>
    <v>ah23m7</v>
    <v>268435456</v>
    <v>1</v>
    <v>Powered by Refinitiv</v>
    <v>179</v>
    <v>Hang Seng Bank Limited (XHKG:11)</v>
    <v>180</v>
    <v>186</v>
    <v>Finance</v>
    <v>185</v>
    <v>166.7</v>
    <v>110</v>
    <v>0.78220000000000001</v>
    <v>-0.4</v>
    <v>-2.483E-3</v>
    <v>HKD</v>
    <v>Hang Seng Bank Ltd is a company principally engaged in the commercial banking business. The Company operates its business through four segments. The Wealth and Personal Banking segment engages in provision of personal banking, consumer lending, time deposits, mortgages and personal loans, credit cards, insurance and wealth management services. The Commercial Banking segment engages in the corporate lending, trade and receivable finance, payments and cash management, treasury and foreign exchange, general insurance, key-person insurance, investment services and corporate wealth management. The Global Banking and Markets segment provides tailored financial solutions. The Other segment engages in the properties, equity shares investment.</v>
    <v>9628</v>
    <v>Hong Kong Stock Exchange</v>
    <v>XHKG</v>
    <v>XHKG</v>
    <v>83 Des Voeux Road Central, Central HK</v>
    <v>162.5</v>
    <v>Banking Services</v>
    <v>Stock</v>
    <v>44356.133726851855</v>
    <v>1137</v>
    <v>160.19999999999999</v>
    <v>307233100000</v>
    <v>Hang Seng Bank Limited</v>
    <v>Hang Seng Bank Limited</v>
    <v>161.5</v>
    <v>19.22</v>
    <v>161.1</v>
    <v>160.69999999999999</v>
    <v>1911843000</v>
    <v>11</v>
    <v>Hang Seng Bank Limited (XHKG:11)</v>
    <v>391329</v>
    <v>1952</v>
  </rv>
  <rv s="7">
    <v>1138</v>
  </rv>
  <rv s="4">
    <v>https://www.bing.com/financeapi/forcetrigger?t=ah6k4c&amp;q=XHKG%3a83188&amp;form=skydnc</v>
    <v>Learn more on Bing</v>
  </rv>
  <rv s="24">
    <v>en-GB</v>
    <v>ah6k4c</v>
    <v>268435456</v>
    <v>1</v>
    <v>Powered by Refinitiv</v>
    <v>196</v>
    <v>ChinaAMC CSI 300 Index ETF RMB (XHKG:83188)</v>
    <v>192</v>
    <v>197</v>
    <v>Finance</v>
    <v>185</v>
    <v>60.82</v>
    <v>40.159999999999997</v>
    <v>0.86</v>
    <v>0.06</v>
    <v>1.1250000000000001E-3</v>
    <v>CNY</v>
    <v>Hong Kong Stock Exchange</v>
    <v>XHKG</v>
    <v>8.1000000000000013E-3</v>
    <v>53.4</v>
    <v>ETF</v>
    <v>44356.13453703704</v>
    <v>1140</v>
    <v>53.2</v>
    <v>18220420000</v>
    <v>ChinaAMC CSI 300 Index ETF RMB</v>
    <v>53.4</v>
    <v>53.32</v>
    <v>53.38</v>
    <v>83188</v>
    <v>ChinaAMC CSI 300 Index ETF RMB (XHKG:83188)</v>
    <v>81600</v>
  </rv>
  <rv s="7">
    <v>1141</v>
  </rv>
  <rv s="4">
    <v>https://www.bing.com/financeapi/forcetrigger?t=ah39lh&amp;q=XHKG%3a1882&amp;form=skydnc</v>
    <v>Learn more on Bing</v>
  </rv>
  <rv s="18">
    <v>en-GB</v>
    <v>ah39lh</v>
    <v>268435456</v>
    <v>1</v>
    <v>Powered by Refinitiv</v>
    <v>179</v>
    <v>HAITIAN INTERNATIONAL HOLDINGS LIMITED (XHKG:1882)</v>
    <v>180</v>
    <v>186</v>
    <v>Finance</v>
    <v>185</v>
    <v>32.549999999999997</v>
    <v>14.445</v>
    <v>0.94010000000000005</v>
    <v>-0.75</v>
    <v>-2.6737999999999998E-2</v>
    <v>HKD</v>
    <v>Haitian International Holdings Limited is an investment holding company principally engaged in the manufacture and distribution of plastic injection moulding machines and related products. The Company operates its business in Mainland China, Hong Kong and overseas countries. The Company’s subsidiaries include Haitian Plastic Processing Machinery Guangzhou Co., Ltd., Haitian Plastic Machinery Group Limited and Mega Power Investment Development Limited. Through its subsidiaries, the Company is also engaged in logistic business.</v>
    <v>6668</v>
    <v>Hong Kong Stock Exchange</v>
    <v>XHKG</v>
    <v>XHKG</v>
    <v>No. 1688, Haitian Road, Beilun District, NINGBO, ZHEJIANG, 315800 CN</v>
    <v>28.25</v>
    <v>Machinery, Equipment &amp; Components</v>
    <v>Stock</v>
    <v>44356.133229166669</v>
    <v>1143</v>
    <v>27.25</v>
    <v>45486000000</v>
    <v>HAITIAN INTERNATIONAL HOLDINGS LIMITED</v>
    <v>HAITIAN INTERNATIONAL HOLDINGS LIMITED</v>
    <v>27.95</v>
    <v>15.36</v>
    <v>28.05</v>
    <v>27.3</v>
    <v>1596000000</v>
    <v>1882</v>
    <v>HAITIAN INTERNATIONAL HOLDINGS LIMITED (XHKG:1882)</v>
    <v>518336</v>
    <v>2006</v>
  </rv>
  <rv s="7">
    <v>1144</v>
  </rv>
  <rv s="4">
    <v>https://www.bing.com/financeapi/forcetrigger?t=ah4pur&amp;q=XHKG%3a3900&amp;form=skydnc</v>
    <v>Learn more on Bing</v>
  </rv>
  <rv s="18">
    <v>en-GB</v>
    <v>ah4pur</v>
    <v>268435456</v>
    <v>1</v>
    <v>Powered by Refinitiv</v>
    <v>179</v>
    <v>Greentown China Holdings Limited (XHKG:3900)</v>
    <v>180</v>
    <v>186</v>
    <v>Finance</v>
    <v>185</v>
    <v>15.7</v>
    <v>7.59</v>
    <v>1.5437000000000001</v>
    <v>0.01</v>
    <v>1.1169999999999999E-3</v>
    <v>HKD</v>
    <v>Greentown China Holdings Limited is a China-based property developer and a living service provider. The Company is engage in property development, town development, construction management and asset operation businesses, as well as the provision of living services. The Company mainly operates through four segments, including property development, hotel operations, property investment and others. The Company operates its businesses mainly in the first-tier and second-tier cities in China, as well as third-tier and fourth-tier cities in China. The company’s cope of business currently covers more than 20 provinces, autonomous regions and municipalities. It has presence in over 100 cities, having constructed more than 500 exquisite property complexes.</v>
    <v>8081</v>
    <v>Hong Kong Stock Exchange</v>
    <v>XHKG</v>
    <v>XHKG</v>
    <v>10/F, Block A, Dragon Century Plaza, No.1 Hangda Road, HANGZHOU, ZHEJIANG, 310007 CN</v>
    <v>8.98</v>
    <v>Real Estate Operations</v>
    <v>Stock</v>
    <v>44356.133842592593</v>
    <v>1146</v>
    <v>8.85</v>
    <v>21800340000</v>
    <v>Greentown China Holdings Limited</v>
    <v>Greentown China Holdings Limited</v>
    <v>8.9700000000000006</v>
    <v>7.11</v>
    <v>8.9499999999999993</v>
    <v>8.9600000000000009</v>
    <v>2494318000</v>
    <v>3900</v>
    <v>Greentown China Holdings Limited (XHKG:3900)</v>
    <v>1081000</v>
    <v>2005</v>
  </rv>
  <rv s="7">
    <v>1147</v>
  </rv>
  <rv s="4">
    <v>https://www.bing.com/financeapi/forcetrigger?t=bn92fr&amp;q=XIDX%3aBUMI&amp;form=skydnc</v>
    <v>Learn more on Bing</v>
  </rv>
  <rv s="25">
    <v>en-US</v>
    <v>bn92fr</v>
    <v>268435456</v>
    <v>1</v>
    <v>Powered by Refinitiv</v>
    <v>198</v>
    <v>PT Bumi Resources Tbk (XIDX:BUMI)</v>
    <v>180</v>
    <v>199</v>
    <v>Finance</v>
    <v>185</v>
    <v>156</v>
    <v>50</v>
    <v>0.85470000000000002</v>
    <v>1</v>
    <v>1.6667000000000001E-2</v>
    <v>IDR</v>
    <v>PT Bumi Resources Tbk is an Indonesia-based holding company primarily engaged in coal mining. The Company is engaged in coal mining through its subsidiaries and associates, such as PT Kaltim Prima Coal, PT Arutmin Indonesia, PT Fajar Bumi Sakti and PT Pendopo Energi Batubara. It produces thermal coal from its coal mines that are located in several areas in Indonesia, such as Sangatta, Bengalon, Senakin, Satui, Mulia, Batulicin, Asam-asam, Kintap, Loa Ulung, Tabang, Muara Enim and Penukal Abab Lematang Ilir. Most of its coal are used as fuel for coal power plants. Besides coal mining, the Company is also engaged in other minerals mining, which is operated through PT Bumi Resources Mineral Tbk, as well as oil and gas exploration.</v>
    <v>798</v>
    <v>Indonesia Stock Exchange</v>
    <v>XIDX</v>
    <v>XIDX</v>
    <v>Bakrie Tower Lt. 12, Komplek Rasuna Epicentrum, Karet Kuningan, Setiabudi, JAKARTA, DKI JAKARTA, 12960 ID</v>
    <v>64</v>
    <v>Coal</v>
    <v>Stock</v>
    <v>44355.34375</v>
    <v>1149</v>
    <v>60</v>
    <v>4456485000000</v>
    <v>PT Bumi Resources Tbk</v>
    <v>PT Bumi Resources Tbk</v>
    <v>60</v>
    <v>60</v>
    <v>61</v>
    <v>74274740000</v>
    <v>BUMI</v>
    <v>PT Bumi Resources Tbk (XIDX:BUMI)</v>
    <v>644479500</v>
    <v>379403637.2881</v>
    <v>1973</v>
  </rv>
  <rv s="7">
    <v>1150</v>
  </rv>
  <rv s="4">
    <v>https://www.bing.com/financeapi/forcetrigger?t=bn8zyc&amp;q=XIDX%3aACES&amp;form=skydnc</v>
    <v>Learn more on Bing</v>
  </rv>
  <rv s="25">
    <v>en-US</v>
    <v>bn8zyc</v>
    <v>268435456</v>
    <v>1</v>
    <v>Powered by Refinitiv</v>
    <v>198</v>
    <v>PT Ace Hardware Indonesia Tbk (XIDX:ACES)</v>
    <v>180</v>
    <v>199</v>
    <v>Finance</v>
    <v>185</v>
    <v>1850</v>
    <v>1360</v>
    <v>0.6351</v>
    <v>-50</v>
    <v>-3.3445000000000003E-2</v>
    <v>IDR</v>
    <v>PT Ace Hardware Indonesia Tbk is an Indonesia-based company primarily engaged in home improvement and lifestyle products retail industry. Its home improvement products include household hardware, home appliances, cleaning supplies, gardening tools, plumbing supplies and fixtures, lighting and building materials. The lifestyle products it offers include automotive accessories, furniture, housewares, sporting goods, pet supplies and horeca (hotel, restaurant and cafe) supplies. Through its subsidiary, PT Toys Game Indonesia, it is also engaged in toys retail industry. It operates its home improvement and lifestyle products retail stores under the brand name Ace, while those of its toys business under the name Toys Kingdom. The network of its Ace stores includes major cities in Indonesia, such as Jakarta, Bandung, Semarang, Surabaya, Medan, Balikpapan, Pontianak, Manado and Makassar. Its Toys Kingdom stores are available in Jakarta, Surabaya, Bandung and Semarang, Indonesia, among others.</v>
    <v>17075</v>
    <v>Indonesia Stock Exchange</v>
    <v>XIDX</v>
    <v>XIDX</v>
    <v>Gedung Kawan Lama, Lantai 5, Jalan Puri Kencana No. 1, Kembangan Selatan, JAKARTA BARAT, DKI JAKARTA, 11610 ID</v>
    <v>1490</v>
    <v>Specialty Retailers</v>
    <v>Stock</v>
    <v>44355.34375</v>
    <v>1152</v>
    <v>1435</v>
    <v>25639250000000</v>
    <v>PT Ace Hardware Indonesia Tbk</v>
    <v>PT Ace Hardware Indonesia Tbk</v>
    <v>1485</v>
    <v>1495</v>
    <v>1445</v>
    <v>17150000000</v>
    <v>ACES</v>
    <v>PT Ace Hardware Indonesia Tbk (XIDX:ACES)</v>
    <v>11478000</v>
    <v>19510381.355900001</v>
    <v>1995</v>
  </rv>
  <rv s="7">
    <v>1153</v>
  </rv>
  <rv s="4">
    <v>https://www.bing.com/financeapi/forcetrigger?t=bkguk2&amp;q=XIDX%3aIMAS&amp;form=skydnc</v>
    <v>Learn more on Bing</v>
  </rv>
  <rv s="25">
    <v>en-US</v>
    <v>bkguk2</v>
    <v>268435456</v>
    <v>1</v>
    <v>Powered by Refinitiv</v>
    <v>198</v>
    <v>PT Indomobil Sukses Internasional Tbk (XIDX:IMAS)</v>
    <v>180</v>
    <v>199</v>
    <v>Finance</v>
    <v>185</v>
    <v>1685</v>
    <v>520</v>
    <v>2.1202000000000001</v>
    <v>-15</v>
    <v>-1.5306E-2</v>
    <v>IDR</v>
    <v>PT Indomobil Sukses Internasional Tbk is an Indonesia-based company primarily engaged in the automotive industry. Its major business activities include the assembling and distributing of automobiles, buses, trucks and heavy equipment, as well as related components, all of which are under the brand names of Audi, Datsun, Foton, Hino, lnfiniti, John Deere, Kalmar, Manitou, Nissan, Renault, Renault Trucks, Saonon, SDLG, Suzuki, Volkswagen, Volvo Construction Equipment, Volvo Trucks and Zoomlion. Besides, the Company provides automotive after-sales and car rental services, and it operates as a spare parts distributor for 'lndoParts'. Other regular undertakings of the Company include the provision of building management services, stamping and dies services, as well as digital data processing &amp; digital advertising. Its subsidiaries are namely PT Indomobil Multi Jasa Tbk, Indomobil Multi Jasa, Indomobil Multi Jasa and Indomobil Multi Jasa, among others.</v>
    <v>7477</v>
    <v>Indonesia Stock Exchange</v>
    <v>XIDX</v>
    <v>XIDX</v>
    <v>Wisma Indomobil 1 Lt. 9, Jl. MT Haryono Kav. 8, JAKARTA TIMUR, DKI JAKARTA, 13330 ID</v>
    <v>995</v>
    <v>Automobiles &amp; Auto Parts</v>
    <v>Stock</v>
    <v>44355.34375</v>
    <v>1155</v>
    <v>960</v>
    <v>3914405000000</v>
    <v>PT Indomobil Sukses Internasional Tbk</v>
    <v>PT Indomobil Sukses Internasional Tbk</v>
    <v>980</v>
    <v>980</v>
    <v>965</v>
    <v>3994291000</v>
    <v>IMAS</v>
    <v>PT Indomobil Sukses Internasional Tbk (XIDX:IMAS)</v>
    <v>1403100</v>
    <v>4013418.6441000002</v>
    <v>1988</v>
  </rv>
  <rv s="7">
    <v>1156</v>
  </rv>
  <rv s="4">
    <v>https://www.bing.com/financeapi/forcetrigger?t=bkgpkr&amp;q=XIDX%3aFREN&amp;form=skydnc</v>
    <v>Learn more on Bing</v>
  </rv>
  <rv s="25">
    <v>en-US</v>
    <v>bkgpkr</v>
    <v>268435456</v>
    <v>1</v>
    <v>Powered by Refinitiv</v>
    <v>198</v>
    <v>PT Smartfren Telecom Tbk (XIDX:FREN)</v>
    <v>180</v>
    <v>199</v>
    <v>Finance</v>
    <v>185</v>
    <v>168</v>
    <v>51</v>
    <v>2.0158</v>
    <v>-4</v>
    <v>-4.5976999999999997E-2</v>
    <v>IDR</v>
    <v>PT Smartfren Telecom Tbk is an Indonesia-based telecommunications company. The Company's principal activities include the provision of telecommunication services, which is a code division multiple access (CDMA) cellular service that operates on CDMA2000 1X and CDMA2000 1X evolution-data optimized (EV-DO) technology; multimedia products and services; trading and distribution of telecommunication products and equipments, in which it offers smart phones, tablets, basic phones, modems, routers, and other related products, and after sales services, which it operates service centers throughout Indonesia, namely Gallery Smartfren. The Company provides its products under its own brand, namely Fren . Its products and services are Fren Prepaid, Fren Duo, Fren Postpaid Corporate Package and Fren Mobile Internet. Its subsidiaries are including Mobile-8 Telecom Finance BV and PT Smart Telecom.</v>
    <v>2707</v>
    <v>Indonesia Stock Exchange</v>
    <v>XIDX</v>
    <v>XIDX</v>
    <v>Kantor SmartfrenJl. H. Agus Salim No. 45 Menteng, JAKARTA PUSAT, DKI JAKARTA, 10340 ID</v>
    <v>87</v>
    <v>Telecommunications Services</v>
    <v>Stock</v>
    <v>44355.34375</v>
    <v>1158</v>
    <v>83</v>
    <v>26802560000000</v>
    <v>PT Smartfren Telecom Tbk</v>
    <v>PT Smartfren Telecom Tbk</v>
    <v>87</v>
    <v>87</v>
    <v>83</v>
    <v>308075400000</v>
    <v>FREN</v>
    <v>PT Smartfren Telecom Tbk (XIDX:FREN)</v>
    <v>855479500</v>
    <v>1006474649.1525</v>
    <v>2002</v>
  </rv>
  <rv s="7">
    <v>1159</v>
  </rv>
  <rv s="4">
    <v>https://www.bing.com/financeapi/forcetrigger?t=aoe6z2&amp;q=XLON%3aBAR&amp;form=skydnc</v>
    <v>Learn more on Bing</v>
  </rv>
  <rv s="26">
    <v>en-US</v>
    <v>aoe6z2</v>
    <v>268435456</v>
    <v>1</v>
    <v>Powered by Refinitiv</v>
    <v>200</v>
    <v>BRAND ARCHITEKTS GROUP PLC (XLON:BAR)</v>
    <v>180</v>
    <v>201</v>
    <v>Finance</v>
    <v>202</v>
    <v>195</v>
    <v>101.1</v>
    <v>1.1724000000000001</v>
    <v>-4.49</v>
    <v>-2.5954000000000001E-2</v>
    <v>GBp</v>
    <v>Brand Architekts Group plc, formerly Swallowfield plc, is a United Kingdom-based company that is engaged in the beauty brands business. The Company has a portfolio of brands including in skincare, haircare, bodycare, bathing, men's, gifting and accessories. The Company’s brands include Super Faclalist, Dirty Works, Kind Natured, Fish Soho and Dr SALTS. Super Facialist is a skincare range suitable for everyone, it combines natural extracts, scientific ingredients and exquisite aromas. Dirty Works is a British brand and the range includes a mix of beauty products. The Dr SALTS range is comprised of bath and shower products that includes the therapeutic benefits of the Dead Sea, Himalayan and Epsom Salts. The Company has presence across other European Union countries and rest of the world.</v>
    <v>586</v>
    <v>London Stock Exchange</v>
    <v>XLON</v>
    <v>XLON</v>
    <v>8 Waldegrave Road, TEDDINGTON, MIDDLESEX, TW11 8GT GB</v>
    <v>Personal &amp; Household Products &amp; Services</v>
    <v>Stock</v>
    <v>44355.497739791404</v>
    <v>1161</v>
    <v>29809110</v>
    <v>BRAND ARCHITEKTS GROUP PLC</v>
    <v>BRAND ARCHITEKTS GROUP PLC</v>
    <v>173</v>
    <v>0</v>
    <v>173</v>
    <v>173</v>
    <v>17230700</v>
    <v>BAR</v>
    <v>BRAND ARCHITEKTS GROUP PLC (XLON:BAR)</v>
    <v>2286</v>
    <v>1986</v>
  </rv>
  <rv s="7">
    <v>1162</v>
  </rv>
  <rv s="4">
    <v>http://en.wikipedia.org/wiki/Lloyds_Banking_Group</v>
    <v>Wikipedia</v>
  </rv>
  <rv s="14">
    <v>1032</v>
    <v>1164</v>
  </rv>
  <rv s="15">
    <v>175</v>
    <v>https://www.bing.com/th?id=AMMS_82274e23c5bf18a00d9cb3c35adbc237&amp;qlt=95</v>
    <v>1165</v>
    <v>0</v>
    <v>https://www.bing.com/images/search?form=xlimg&amp;q=lloyds+banking+group</v>
    <v>Image of LLOYDS BANKING GROUP PLC</v>
  </rv>
  <rv s="4">
    <v>https://www.bing.com/financeapi/forcetrigger?t=aob7c7&amp;q=XLON%3aLLOY&amp;form=skydnc</v>
    <v>Learn more on Bing</v>
  </rv>
  <rv s="17">
    <v>en-US</v>
    <v>aob7c7</v>
    <v>268435456</v>
    <v>1</v>
    <v>Powered by Refinitiv</v>
    <v>176</v>
    <v>LLOYDS BANKING GROUP PLC (XLON:LLOY)</v>
    <v>172</v>
    <v>203</v>
    <v>Finance</v>
    <v>202</v>
    <v>50.56</v>
    <v>23.585000000000001</v>
    <v>1.5784</v>
    <v>-0.73</v>
    <v>-1.4709000000000002E-2</v>
    <v>GBp</v>
    <v>LLOYDS BANKING GROUP plc financial services company, which provides a range of banking and financial services, focused on personal and commercial customers. The Company’s major business activities are retail, commercial and corporate banking, general insurance, and life, pensions and investment provision. The Company’s services are offered through its brands, including Lloyds Bank, Halifax, Bank of Scotland, and Scottish Widows. Its Retail segment offers a broad range of financial service products to personal and business banking customers, including current accounts, savings, mortgages, credit cards, unsecured loans, motor finance and leasing solutions. Its Commercial banking segment provides clients with a range of products and services such as lending, transaction banking, working capital management, risk management and debt capital markets services. Insurance and Wealth segment offers insurance, investment and wealth management products and services.</v>
    <v>61576</v>
    <v>London Stock Exchange</v>
    <v>XLON</v>
    <v>XLON</v>
    <v>8 Victoria Street ,Spalding, LINCOLNSHIRE, PE11 1EA GB</v>
    <v>49.914999999999999</v>
    <v>1166</v>
    <v>Banking Services</v>
    <v>Stock</v>
    <v>44355.672086573439</v>
    <v>1167</v>
    <v>48.84</v>
    <v>35159300000</v>
    <v>LLOYDS BANKING GROUP PLC</v>
    <v>LLOYDS BANKING GROUP PLC</v>
    <v>49.5</v>
    <v>15.4259</v>
    <v>49.63</v>
    <v>48.9</v>
    <v>70962360000</v>
    <v>LLOY</v>
    <v>LLOYDS BANKING GROUP PLC (XLON:LLOY)</v>
    <v>98143615</v>
    <v>1985</v>
  </rv>
  <rv s="7">
    <v>1168</v>
  </rv>
  <rv s="4">
    <v>http://ja.wikipedia.org/wiki/ボーダフォン</v>
    <v>Wikipedia</v>
  </rv>
  <rv s="14">
    <v>1032</v>
    <v>1170</v>
  </rv>
  <rv s="15">
    <v>175</v>
    <v>https://www.bing.com/th?id=AMMS_5d7e7185df95c9a1b488aeeceec65f19&amp;qlt=95</v>
    <v>1171</v>
    <v>0</v>
    <v>https://www.bing.com/images/search?form=xlimg&amp;q=vodafone+group+plc</v>
    <v>Image of VODAFONE GROUP PUBLIC LIMITED COMPANY</v>
  </rv>
  <rv s="4">
    <v>https://www.bing.com/financeapi/forcetrigger?t=aof8sm&amp;q=XLON%3aVOD&amp;form=skydnc</v>
    <v>Learn more on Bing</v>
  </rv>
  <rv s="17">
    <v>en-US</v>
    <v>aof8sm</v>
    <v>268435456</v>
    <v>1</v>
    <v>Powered by Refinitiv</v>
    <v>176</v>
    <v>VODAFONE GROUP PUBLIC LIMITED COMPANY (XLON:VOD)</v>
    <v>172</v>
    <v>203</v>
    <v>Finance</v>
    <v>202</v>
    <v>142.74</v>
    <v>87.113</v>
    <v>1.1493</v>
    <v>-4.6699999999999998E-2</v>
    <v>-3.6159999999999995E-4</v>
    <v>GBp</v>
    <v>Vodafone Group Plc is a telecommunications company. The Company's business is organized into two geographic regions: Europe, and Africa, Middle East and Asia Pacific (AMAP). Its segments include Europe and AMAP. Its Europe segment includes geographic regions, such as Germany, Italy, the United Kingdom, Spain and Other Europe. The Other Europe includes the Netherlands, Portugal, Greece, Hungary and Romania, among others. Its AMAP segment includes India, South Africa, Tanzania, Mozambique, Lesotho, Africa, Turkey, Australia, Egypt, Ghana, Kenya, and among others. The Company provides a range of services, including voice, messaging and data across mobile and fixed networks.</v>
    <v>96506</v>
    <v>London Stock Exchange</v>
    <v>XLON</v>
    <v>XLON</v>
    <v>Vodafone House, The Connection, NEWBURY, BERKSHIRE, RG14 2FN GB</v>
    <v>130.08000000000001</v>
    <v>1172</v>
    <v>Telecommunications Services</v>
    <v>Stock</v>
    <v>44355.666471955468</v>
    <v>1173</v>
    <v>128.13999999999999</v>
    <v>36090690000</v>
    <v>VODAFONE GROUP PUBLIC LIMITED COMPANY</v>
    <v>VODAFONE GROUP PUBLIC LIMITED COMPANY</v>
    <v>129.12</v>
    <v>378.17649999999998</v>
    <v>129.13999999999999</v>
    <v>128.58000000000001</v>
    <v>27938930000</v>
    <v>VOD</v>
    <v>VODAFONE GROUP PUBLIC LIMITED COMPANY (XLON:VOD)</v>
    <v>56063434</v>
    <v>1984</v>
  </rv>
  <rv s="7">
    <v>1174</v>
  </rv>
  <rv s="4">
    <v>https://www.bing.com/financeapi/forcetrigger?t=ao675r&amp;q=XLON%3aAUTO&amp;form=skydnc</v>
    <v>Learn more on Bing</v>
  </rv>
  <rv s="18">
    <v>en-US</v>
    <v>ao675r</v>
    <v>268435456</v>
    <v>1</v>
    <v>Powered by Refinitiv</v>
    <v>179</v>
    <v>AUTO TRADER GROUP PLC (XLON:AUTO)</v>
    <v>180</v>
    <v>204</v>
    <v>Finance</v>
    <v>202</v>
    <v>623.20000000000005</v>
    <v>506.2</v>
    <v>0.44800000000000001</v>
    <v>10.199999999999999</v>
    <v>1.8033999999999998E-2</v>
    <v>GBp</v>
    <v>Auto Trader Group PLC is a United Kingdom-based company that offers a digital automotive marketplace. The Company’s platform offers consumers a selection of new and used car listings, enabling them to search from the marketplace. It also offers free car valuations and a variety of motoring services and advice to consumers. It offers a finance search tool, which allows consumers to search by monthly budget. The Company offers a range of products and services to its retailer customers. It offers data intelligence solutions, such as Retail Accelerator and Retail Check, enabling retailers to buy the right stock, at the right price. Its platform enables manufacturers to advertise to the car buying audience. The Company uses its data management platform (DMP) to develop targeted audience segments for advertising and give manufacturers a proposition to reach new car buyers.</v>
    <v>913</v>
    <v>London Stock Exchange</v>
    <v>XLON</v>
    <v>XLON</v>
    <v>4th Fl, 1 Tony Wilson Place, MANCHESTER, UNITED KINGDOM-NA, M15 4FN GB</v>
    <v>579.79999999999995</v>
    <v>Software &amp; IT Services</v>
    <v>Stock</v>
    <v>44355.649503703127</v>
    <v>1176</v>
    <v>566.79999999999995</v>
    <v>5467364000</v>
    <v>AUTO TRADER GROUP PLC</v>
    <v>AUTO TRADER GROUP PLC</v>
    <v>566.79999999999995</v>
    <v>34.603400000000001</v>
    <v>565.6</v>
    <v>575.79999999999995</v>
    <v>966648500</v>
    <v>AUTO</v>
    <v>AUTO TRADER GROUP PLC (XLON:AUTO)</v>
    <v>2657373</v>
    <v>2015</v>
  </rv>
  <rv s="7">
    <v>1177</v>
  </rv>
  <rv s="4">
    <v>https://www.bing.com/financeapi/forcetrigger?t=aof6a2&amp;q=XLON%3aVEUR&amp;form=skydnc</v>
    <v>Learn more on Bing</v>
  </rv>
  <rv s="24">
    <v>en-US</v>
    <v>aof6a2</v>
    <v>268435456</v>
    <v>1</v>
    <v>Powered by Refinitiv</v>
    <v>196</v>
    <v>FTSE Dev Europe UCITS ETF EUR (XLON:VEUR)</v>
    <v>192</v>
    <v>205</v>
    <v>Finance</v>
    <v>206</v>
    <v>30.774999999999999</v>
    <v>23.37</v>
    <v>0.93920000000000003</v>
    <v>7.2499999999999995E-2</v>
    <v>2.3680000000000003E-3</v>
    <v>GBP</v>
    <v>London Stock Exchange</v>
    <v>XLON</v>
    <v>1E-3</v>
    <v>30.774999999999999</v>
    <v>ETF</v>
    <v>44355.643063633594</v>
    <v>1179</v>
    <v>30.63</v>
    <v>2160190899.5700002</v>
    <v>FTSE Dev Europe UCITS ETF EUR</v>
    <v>30.66</v>
    <v>30.612500000000001</v>
    <v>30.677499999999998</v>
    <v>VEUR</v>
    <v>FTSE Dev Europe UCITS ETF EUR (XLON:VEUR)</v>
    <v>9227</v>
  </rv>
  <rv s="7">
    <v>1180</v>
  </rv>
  <rv s="4">
    <v>https://www.bing.com/financeapi/forcetrigger?t=ao6mkr&amp;q=XLON%3aBOIL&amp;form=skydnc</v>
    <v>Learn more on Bing</v>
  </rv>
  <rv s="21">
    <v>en-US</v>
    <v>ao6mkr</v>
    <v>268435456</v>
    <v>1</v>
    <v>Powered by Refinitiv</v>
    <v>189</v>
    <v>BARON OIL PLC (XLON:BOIL)</v>
    <v>180</v>
    <v>207</v>
    <v>Finance</v>
    <v>202</v>
    <v>0.159</v>
    <v>0.01</v>
    <v>0.3427</v>
    <v>2E-3</v>
    <v>2.5000000000000001E-2</v>
    <v>GBp</v>
    <v>Baron Oil Plc is engaged in oil and gas exploration and production. The Company's segment includes the exploration for, and development and production of, oil and gas reserves, and other related activities. It owns exploration acreage in the United Kingdom, Peru and Colombia. The Company has two geographic segments: South America, which is involved in production, development and exploration activity, and the United Kingdom, which is the head office. Its exploration operations in Peru include Block Z-34 offshore and Block XXI onshore. Its operations in Northern Ireland include PL 1/10 license onshore, P2123 license offshore and Islandmagee Gas Storage Project Limited. Block Z-34 is located in deep water adjacent to the Talara Basin offshore North West Peru and covers an area totaling of approximately 3,710 square kilometers. P2123 license is the offshore extension of the Larne-Lough Neagh Basin from the PL 1/10 license.</v>
    <v>31</v>
    <v>London Stock Exchange</v>
    <v>XLON</v>
    <v>XLON</v>
    <v>5-7 Cranwood Street, LONDON, UNITED KINGDOM-NA, EC1V 9EE GB</v>
    <v>8.2400000000000001E-2</v>
    <v>Oil &amp; Gas</v>
    <v>Stock</v>
    <v>44355.645897349219</v>
    <v>1182</v>
    <v>8.2400000000000001E-2</v>
    <v>8341130</v>
    <v>BARON OIL PLC</v>
    <v>BARON OIL PLC</v>
    <v>0.08</v>
    <v>0.08</v>
    <v>8.2500000000000004E-2</v>
    <v>10426410000</v>
    <v>BOIL</v>
    <v>BARON OIL PLC (XLON:BOIL)</v>
    <v>139505151</v>
    <v>2004</v>
  </rv>
  <rv s="7">
    <v>1183</v>
  </rv>
  <rv s="4">
    <v>https://www.bing.com/financeapi/forcetrigger?t=ao6aw7&amp;q=XLON%3aBARC&amp;form=skydnc</v>
    <v>Learn more on Bing</v>
  </rv>
  <rv s="18">
    <v>en-US</v>
    <v>ao6aw7</v>
    <v>268435456</v>
    <v>1</v>
    <v>Powered by Refinitiv</v>
    <v>179</v>
    <v>BARCLAYS PLC (XLON:BARC)</v>
    <v>180</v>
    <v>204</v>
    <v>Finance</v>
    <v>202</v>
    <v>190.58</v>
    <v>88.9</v>
    <v>1.6187</v>
    <v>-1.82</v>
    <v>-9.7339999999999996E-3</v>
    <v>GBp</v>
    <v>Barclays PLC is a holding company. The Company, through its subsidiaries, is a transatlantic consumer and wholesale bank with global reach offering products and services across personal, corporate and investment banking, credit cards and wealth management, anchored in the Company’s two home markets of the United Kingdom and the United States. The Company is organized into two business divisions: the Barclays UK division (Barclays UK) and the Barclays International division (Barclays International). Barclays UK offers everyday products and services to retail customers and small- to medium-sized enterprises based in the United Kingdom. Barclays UK is the ring-fenced bank for the United Kingdom, providing transactional, lending and investment products and services to Wealth and Business Banking customers and clients. Barclays International includes the corporate and Investment Bank, and Consumer, Cards and Payments.</v>
    <v>83000</v>
    <v>London Stock Exchange</v>
    <v>XLON</v>
    <v>XLON</v>
    <v>Canary Wharf, 1 Churchill Place, LONDON, UNITED KINGDOM-NA, E14 5HP GB</v>
    <v>188</v>
    <v>Banking Services</v>
    <v>Stock</v>
    <v>44355.649469606251</v>
    <v>1185</v>
    <v>184.4</v>
    <v>31778420000</v>
    <v>BARCLAYS PLC</v>
    <v>BARCLAYS PLC</v>
    <v>186.26</v>
    <v>12.1816</v>
    <v>186.98</v>
    <v>185.16</v>
    <v>16995620000</v>
    <v>BARC</v>
    <v>BARCLAYS PLC (XLON:BARC)</v>
    <v>40915207</v>
    <v>1896</v>
  </rv>
  <rv s="7">
    <v>1186</v>
  </rv>
  <rv s="4">
    <v>https://www.bing.com/financeapi/forcetrigger?t=aocmrw&amp;q=XLON%3aPREM&amp;form=skydnc</v>
    <v>Learn more on Bing</v>
  </rv>
  <rv s="19">
    <v>en-US</v>
    <v>aocmrw</v>
    <v>268435456</v>
    <v>1</v>
    <v>Powered by Refinitiv</v>
    <v>182</v>
    <v>Premier African Minerals Limited (XLON:PREM)</v>
    <v>180</v>
    <v>208</v>
    <v>Finance</v>
    <v>202</v>
    <v>0.495</v>
    <v>3.6999999999999998E-2</v>
    <v>0.57909999999999995</v>
    <v>5.0000000000000001E-4</v>
    <v>2.9409999999999996E-3</v>
    <v>GBp</v>
    <v>Premier African Minerals Limited is a multi-commodity mining and natural resource development company. The Company focuses to acquire and develop mineral properties. The Company’s segments include RHA and RHA Mauritius segment, and Zulu and Zulu Mauritius segment. The RHA and RHA Mauritius segment is engaged in the development and mining of wolframite. The Zulu and Zulu Mauritius segment is engaged in the development of lithium and tantalite. The Company has projects in Zimbabwe, Togo, Benin and Mozambique. Its projects include RHA Tungsten Mine, Katete REE Project, Zulu Project, Tinde Project, Lubimbi Project, Pagala Project, Haito Project, Kara-Niamtougou Project, Dapaong Project and Catapu Limestone Project. The Company holds interest in Circum Minerals Limited, the owner of the Danakil Potash Project in Ethiopia. The Company also holds interest in MN Holdings Limited, the operator of the Otjozondu Manganese Mining Project in Namibia.</v>
    <v>London Stock Exchange</v>
    <v>XLON</v>
    <v>XLON</v>
    <v>213, rue de Agbanlepedogan, LOME, TOGO-NA TG</v>
    <v>0.17050000000000001</v>
    <v>Metals &amp; Mining</v>
    <v>Stock</v>
    <v>44355.649339351563</v>
    <v>1188</v>
    <v>0.17050000000000001</v>
    <v>30197170</v>
    <v>Premier African Minerals Limited</v>
    <v>Premier African Minerals Limited</v>
    <v>0.17</v>
    <v>2.8416999999999999</v>
    <v>0.17</v>
    <v>0.17050000000000001</v>
    <v>17793010000</v>
    <v>PREM</v>
    <v>Premier African Minerals Limited (XLON:PREM)</v>
    <v>80996475</v>
    <v>2007</v>
  </rv>
  <rv s="7">
    <v>1189</v>
  </rv>
  <rv s="4">
    <v>https://www.bing.com/financeapi/forcetrigger?t=aof5dm&amp;q=XLON%3aVELA&amp;form=skydnc</v>
    <v>Learn more on Bing</v>
  </rv>
  <rv s="26">
    <v>en-US</v>
    <v>aof5dm</v>
    <v>268435456</v>
    <v>1</v>
    <v>Powered by Refinitiv</v>
    <v>200</v>
    <v>VELA TECHNOLOGIES PLC (XLON:VELA)</v>
    <v>180</v>
    <v>201</v>
    <v>Finance</v>
    <v>202</v>
    <v>0.188</v>
    <v>0.03</v>
    <v>1.5351999999999999</v>
    <v>-2.5000000000000001E-3</v>
    <v>-3.2258000000000002E-2</v>
    <v>GBp</v>
    <v>Vela Technologies plc is a United Kingdom-based investment company. The Company is engaged in acquiring and consolidating holdings in small and medium sized enterprises (SMEs), which are active in the development of technologies or engineering solutions. It operates through the holdings and supports of investments segment. The Company seeks investment opportunities, which can be developed through the investment of capital or where, part of or all of the consideration could be satisfied by the issue of new ordinary shares or other securities in the Company. It focuses on investments in companies, which are based in the United Kingdom or Europe.</v>
    <v>55</v>
    <v>London Stock Exchange</v>
    <v>XLON</v>
    <v>XLON</v>
    <v>10b Russell Court Woodgate, Cottingley Bing key, BINGLEY, WEST YORKSHIRE, BD16 1PE GB</v>
    <v>Investment Banking &amp; Investment Services</v>
    <v>Stock</v>
    <v>44355.67237461797</v>
    <v>1191</v>
    <v>10728480</v>
    <v>VELA TECHNOLOGIES PLC</v>
    <v>VELA TECHNOLOGIES PLC</v>
    <v>7.7499999999999999E-2</v>
    <v>0</v>
    <v>7.7499999999999999E-2</v>
    <v>7.4999999999999997E-2</v>
    <v>13843200000</v>
    <v>VELA</v>
    <v>VELA TECHNOLOGIES PLC (XLON:VELA)</v>
    <v>146546834</v>
    <v>2000</v>
  </rv>
  <rv s="7">
    <v>1192</v>
  </rv>
  <rv s="4">
    <v>https://www.bing.com/financeapi/forcetrigger?t=a21mim&amp;q=XNAS%3aQQQ&amp;form=skydnc</v>
    <v>Learn more on Bing</v>
  </rv>
  <rv s="27">
    <v>en-US</v>
    <v>a21mim</v>
    <v>268435456</v>
    <v>1</v>
    <v>Powered by Refinitiv</v>
    <v>209</v>
    <v>Invesco QQQ Trust 1 (XNAS:QQQ)</v>
    <v>192</v>
    <v>210</v>
    <v>Finance</v>
    <v>211</v>
    <v>342.8</v>
    <v>231.47</v>
    <v>1.0066999999999999</v>
    <v>0.16</v>
    <v>5.0480000000000002E-4</v>
    <v>4.7530000000000001E-4</v>
    <v>0.17</v>
    <v>USD</v>
    <v>Nasdaq Stock Market</v>
    <v>XNAS</v>
    <v>2E-3</v>
    <v>339.29</v>
    <v>ETF</v>
    <v>44355.999777534373</v>
    <v>1194</v>
    <v>335.03</v>
    <v>160752382703.89999</v>
    <v>Invesco QQQ Trust 1</v>
    <v>338.39499999999998</v>
    <v>336.6</v>
    <v>336.76</v>
    <v>336.93</v>
    <v>QQQ</v>
    <v>Invesco QQQ Trust 1 (XNAS:QQQ)</v>
    <v>27282819</v>
    <v>45080416</v>
  </rv>
  <rv s="7">
    <v>1195</v>
  </rv>
  <rv s="4">
    <v>http://en.wikipedia.org/wiki/Advanced_Micro_Devices</v>
    <v>Wikipedia</v>
  </rv>
  <rv s="14">
    <v>1032</v>
    <v>1197</v>
  </rv>
  <rv s="15">
    <v>175</v>
    <v>https://www.bing.com/th?id=AMMS_fbc39ac25bb1332e8095cd72ec19dc8e&amp;qlt=95</v>
    <v>1198</v>
    <v>0</v>
    <v>https://www.bing.com/images/search?form=xlimg&amp;q=advanced+micro+devices</v>
    <v>Image of ADVANCED MICRO DEVICES, INC.</v>
  </rv>
  <rv s="4">
    <v>https://www.bing.com/financeapi/forcetrigger?t=a1ndww&amp;q=XNAS%3aAMD&amp;form=skydnc</v>
    <v>Learn more on Bing</v>
  </rv>
  <rv s="16">
    <v>en-US</v>
    <v>a1ndww</v>
    <v>268435456</v>
    <v>1</v>
    <v>Powered by Refinitiv</v>
    <v>171</v>
    <v>ADVANCED MICRO DEVICES, INC. (XNAS:AMD)</v>
    <v>172</v>
    <v>212</v>
    <v>Finance</v>
    <v>174</v>
    <v>99.23</v>
    <v>48.42</v>
    <v>2.0427</v>
    <v>-0.46</v>
    <v>1.236E-4</v>
    <v>-5.6550000000000003E-3</v>
    <v>0.01</v>
    <v>USD</v>
    <v>Advanced Micro Devices, Inc. is a global semiconductor company. The Company is engaged in offering x86 microprocessors, as standalone devices or as incorporated into an accelerated processing unit (APU), chipsets, discrete graphics processing units (GPUs) and professional graphics, and server and embedded processors and semi-custom System-on-Chip (SoC) products and technology for game consoles. The Company's segments include the Computing and Graphics segment, and the Enterprise, Embedded and Semi-Custom segment. The Computing and Graphics segment primarily includes desktop and notebook processors and chipsets, discrete GPUs and professional graphics. The Enterprise, Embedded and Semi-Custom segment primarily includes server and embedded processors, semi-custom SoC products, development services, technology for game consoles and licensing portions of its intellectual property portfolio.</v>
    <v>12600</v>
    <v>Nasdaq Stock Market</v>
    <v>XNAS</v>
    <v>XNAS</v>
    <v>2485 Augustine Dr, SANTA CLARA, CA, 95054-3002 US</v>
    <v>82.644999999999996</v>
    <v>1199</v>
    <v>Semiconductors &amp; Semiconductor Equipment</v>
    <v>Stock</v>
    <v>44355.999831099216</v>
    <v>1200</v>
    <v>80.45</v>
    <v>98283048690</v>
    <v>ADVANCED MICRO DEVICES, INC.</v>
    <v>ADVANCED MICRO DEVICES, INC.</v>
    <v>81.87</v>
    <v>34.532499999999999</v>
    <v>81.349999999999994</v>
    <v>80.89</v>
    <v>80.900000000000006</v>
    <v>1215021000</v>
    <v>AMD</v>
    <v>ADVANCED MICRO DEVICES, INC. (XNAS:AMD)</v>
    <v>26956625</v>
    <v>42270561</v>
    <v>1969</v>
  </rv>
  <rv s="7">
    <v>1201</v>
  </rv>
  <rv s="4">
    <v>http://nl.wikipedia.org/wiki/Apple_Inc.</v>
    <v>Wikipedia</v>
  </rv>
  <rv s="14">
    <v>1032</v>
    <v>1203</v>
  </rv>
  <rv s="15">
    <v>175</v>
    <v>https://www.bing.com/th?id=AMMS_5bc8393c85a56e6bb6524ea7b3970bad&amp;qlt=95</v>
    <v>1204</v>
    <v>0</v>
    <v>https://www.bing.com/images/search?form=xlimg&amp;q=apple+inc</v>
    <v>Image of APPLE INC.</v>
  </rv>
  <rv s="4">
    <v>https://www.bing.com/financeapi/forcetrigger?t=a1mou2&amp;q=XNAS%3aAAPL&amp;form=skydnc</v>
    <v>Learn more on Bing</v>
  </rv>
  <rv s="16">
    <v>en-US</v>
    <v>a1mou2</v>
    <v>268435456</v>
    <v>1</v>
    <v>Powered by Refinitiv</v>
    <v>171</v>
    <v>APPLE INC. (XNAS:AAPL)</v>
    <v>172</v>
    <v>212</v>
    <v>Finance</v>
    <v>174</v>
    <v>145.09</v>
    <v>81.83</v>
    <v>1.2029000000000001</v>
    <v>0.84</v>
    <v>-7.1010000000000008E-4</v>
    <v>6.672E-3</v>
    <v>-0.09</v>
    <v>USD</v>
    <v>Apple Inc. designs, manufactures and markets mobile communication and media devices, personal computers and portable digital music players. The Company sells a range of related software, services, accessories, networking solutions, and third-party digital content and applications. The Company's segments include the Americas, Europe, Greater China, Japan and Rest of Asia Pacific. The Americas segment includes both North and South America. The Europe segment includes European countries, India, the Middle East and Africa. The Greater China segment includes China, Hong Kong and Taiwan. The Rest of Asia Pacific segment includes Australia and the Asian countries not included in the Company's other operating segments. Its products and services include iPhone, iPad, Mac, iPod, Apple Watch, Apple TV, a portfolio of consumer and professional software applications, iPhone OS (iOS), OS X and watchOS operating systems, iCloud, Apple Pay and a range of accessory, service and support offerings.</v>
    <v>147000</v>
    <v>Nasdaq Stock Market</v>
    <v>XNAS</v>
    <v>XNAS</v>
    <v>1 Apple Park Way, CUPERTINO, CA, 95014-0642 US</v>
    <v>128.46</v>
    <v>1205</v>
    <v>Computers, Phones &amp; Household Electronics</v>
    <v>Stock</v>
    <v>44355.999978680469</v>
    <v>1206</v>
    <v>126.2101</v>
    <v>2114990226200</v>
    <v>APPLE INC.</v>
    <v>APPLE INC.</v>
    <v>126.6</v>
    <v>28.251200000000001</v>
    <v>125.9</v>
    <v>126.74</v>
    <v>126.65</v>
    <v>16687630000</v>
    <v>AAPL</v>
    <v>APPLE INC. (XNAS:AAPL)</v>
    <v>74403774</v>
    <v>82452286</v>
    <v>1977</v>
  </rv>
  <rv s="7">
    <v>1207</v>
  </rv>
  <rv s="4">
    <v>http://en.wikipedia.org/wiki/Facebook</v>
    <v>Wikipedia</v>
  </rv>
  <rv s="14">
    <v>1032</v>
    <v>1209</v>
  </rv>
  <rv s="15">
    <v>175</v>
    <v>https://www.bing.com/th?id=AMMS_928a62c96ba821e882cb080907bbb897&amp;qlt=95</v>
    <v>1210</v>
    <v>0</v>
    <v>https://www.bing.com/images/search?form=xlimg&amp;q=facebook</v>
    <v>Image of FACEBOOK, INC.</v>
  </rv>
  <rv s="4">
    <v>https://www.bing.com/financeapi/forcetrigger?t=a1slm7&amp;q=XNAS%3aFB&amp;form=skydnc</v>
    <v>Learn more on Bing</v>
  </rv>
  <rv s="16">
    <v>en-US</v>
    <v>a1slm7</v>
    <v>268435456</v>
    <v>1</v>
    <v>Powered by Refinitiv</v>
    <v>171</v>
    <v>FACEBOOK, INC. (XNAS:FB)</v>
    <v>172</v>
    <v>212</v>
    <v>Finance</v>
    <v>174</v>
    <v>338.29989999999998</v>
    <v>207.11</v>
    <v>1.2948</v>
    <v>-2.9</v>
    <v>2.9969999999999999E-5</v>
    <v>-8.6160000000000004E-3</v>
    <v>0.01</v>
    <v>USD</v>
    <v>Facebook, Inc. is focused on building products that enable people to connect and share through mobile devices, personal computers and other surfaces. The Company's products include Facebook, Instagram, Messenger, WhatsApp and Oculus. Facebook enables people to connect, share, discover and communicate with each other on mobile devices and personal computers. Instagram enables people to take photos or videos, customize them with filter effects, and share them with friends and followers in a photo feed or send them directly to friends. Messenger allows communicating with people and businesses alike across a range of platforms and devices. WhatsApp Messenger is a messaging application that is used by people around the world and is available on a range of mobile platforms. Its Oculus virtual reality technology and content platform offers products that allow people to enter an interactive environment to play games, consume content and connect with others.</v>
    <v>60654</v>
    <v>Nasdaq Stock Market</v>
    <v>XNAS</v>
    <v>XNAS</v>
    <v>1601 Willow Rd, MENLO PARK, CA, 94025-1452 US</v>
    <v>338.29989999999998</v>
    <v>1211</v>
    <v>Software &amp; IT Services</v>
    <v>Stock</v>
    <v>44355.999915508597</v>
    <v>1212</v>
    <v>332.24</v>
    <v>946137961200</v>
    <v>FACEBOOK, INC.</v>
    <v>FACEBOOK, INC.</v>
    <v>336.7</v>
    <v>28.830100000000002</v>
    <v>336.58</v>
    <v>333.68</v>
    <v>333.69</v>
    <v>2835465000</v>
    <v>FB</v>
    <v>FACEBOOK, INC. (XNAS:FB)</v>
    <v>14580464</v>
    <v>16915054</v>
    <v>2004</v>
  </rv>
  <rv s="7">
    <v>1213</v>
  </rv>
  <rv s="4">
    <v>https://www.bing.com/financeapi/forcetrigger?t=a1vmf2&amp;q=XNAS%3aINTC&amp;form=skydnc</v>
    <v>Learn more on Bing</v>
  </rv>
  <rv s="28">
    <v>en-US</v>
    <v>a1vmf2</v>
    <v>268435456</v>
    <v>1</v>
    <v>Powered by Refinitiv</v>
    <v>213</v>
    <v>INTEL CORPORATION (XNAS:INTC)</v>
    <v>180</v>
    <v>214</v>
    <v>Finance</v>
    <v>174</v>
    <v>68.489999999999995</v>
    <v>43.61</v>
    <v>0.60709999999999997</v>
    <v>-0.09</v>
    <v>1.2280000000000001E-3</v>
    <v>-1.5759999999999999E-3</v>
    <v>7.0000000000000007E-2</v>
    <v>USD</v>
    <v>Intel Corporation is engaged in designing and manufacturing products and technologies. Its segments are Client Computing Group (CCG), Data Center Group (DCG), Internet of Things Group (IOTG), Non-Volatile Memory Solutions Group (NSG), Mobileye, Programmable Solutions Group (PSG) and All Other. CCG segment includes platforms designed for end user form factors, focusing on segments of two in one, thin and light, commercial and gaming, and adjacencies. DCG segment includes workload-optimization platforms for compute, storage and network functions. IOTG segment includes high-performance compute solutions for targeted verticals and embedded applications in market segments. NSG segment provides memory and storage products based on Intel Optane technology and Intel three dimensional (3D) NAND technology. Mobileye segment provides driving assistance and automation solutions. PSG segment includes programmable semiconductors, primarily FPGAs and Application-Specific Integrated Circuits (ASICs).</v>
    <v>110600</v>
    <v>Nasdaq Stock Market</v>
    <v>XNAS</v>
    <v>XNAS</v>
    <v>2200 Mission College Blvd, SANTA CLARA, CA, 95054-1537 US</v>
    <v>57.64</v>
    <v>Semiconductors &amp; Semiconductor Equipment</v>
    <v>Stock</v>
    <v>44355.999395138278</v>
    <v>1215</v>
    <v>56.6</v>
    <v>230166000000</v>
    <v>INTEL CORPORATION</v>
    <v>INTEL CORPORATION</v>
    <v>57.45</v>
    <v>12.8324</v>
    <v>57.09</v>
    <v>57</v>
    <v>57.07</v>
    <v>4038000000</v>
    <v>INTC</v>
    <v>INTEL CORPORATION (XNAS:INTC)</v>
    <v>33254482</v>
    <v>23795562</v>
    <v>1989</v>
  </rv>
  <rv s="7">
    <v>1216</v>
  </rv>
  <rv s="4">
    <v>https://en.wikipedia.org/wiki/Microsoft</v>
    <v>Wikipedia</v>
  </rv>
  <rv s="14">
    <v>1032</v>
    <v>1218</v>
  </rv>
  <rv s="15">
    <v>175</v>
    <v>https://www.bing.com/th?id=AMMS_1435b697418eae5bfbed034f46c28dc4&amp;qlt=95</v>
    <v>1219</v>
    <v>0</v>
    <v>https://www.bing.com/images/search?form=xlimg&amp;q=microsoft</v>
    <v>Image of MICROSOFT CORPORATION</v>
  </rv>
  <rv s="4">
    <v>https://www.bing.com/financeapi/forcetrigger?t=a1xzim&amp;q=XNAS%3aMSFT&amp;form=skydnc</v>
    <v>Learn more on Bing</v>
  </rv>
  <rv s="16">
    <v>en-US</v>
    <v>a1xzim</v>
    <v>268435456</v>
    <v>1</v>
    <v>Powered by Refinitiv</v>
    <v>171</v>
    <v>MICROSOFT CORPORATION (XNAS:MSFT)</v>
    <v>172</v>
    <v>212</v>
    <v>Finance</v>
    <v>174</v>
    <v>263.19</v>
    <v>184.01</v>
    <v>0.78410000000000002</v>
    <v>-1.24</v>
    <v>1.188E-4</v>
    <v>-4.8859999999999997E-3</v>
    <v>0.03</v>
    <v>USD</v>
    <v>Microsoft Corporation is a technology company. The Company develops, licenses, and supports a range of software products, services and devices. The Company's segments include Productivity and Business Processes, Intelligent Cloud and More Personal Computing. The Company's products include operating systems; cross-device productivity applications; server applications; business solution applications; desktop and server management tools; software development tools; video games, and training and certification of computer system integrators and developers. It also designs, manufactures, and sells devices, including personal computers (PCs), tablets, gaming and entertainment consoles, phones, other intelligent devices, and related accessories, that integrate with its cloud-based offerings. It offers an array of services, including cloud-based solutions that provide customers with software, services, platforms, and content, and it provides solution support and consulting services.</v>
    <v>163000</v>
    <v>Nasdaq Stock Market</v>
    <v>XNAS</v>
    <v>XNAS</v>
    <v>1 Microsoft Way, REDMOND, WA, 98052-6399 US</v>
    <v>256.01</v>
    <v>1220</v>
    <v>Software &amp; IT Services</v>
    <v>Stock</v>
    <v>44355.999817904689</v>
    <v>1221</v>
    <v>252.51</v>
    <v>1902249897750</v>
    <v>MICROSOFT CORPORATION</v>
    <v>MICROSOFT CORPORATION</v>
    <v>255.16</v>
    <v>34.542000000000002</v>
    <v>253.81</v>
    <v>252.57</v>
    <v>252.6</v>
    <v>7531575000</v>
    <v>MSFT</v>
    <v>MICROSOFT CORPORATION (XNAS:MSFT)</v>
    <v>22454998</v>
    <v>24455101</v>
    <v>1993</v>
  </rv>
  <rv s="7">
    <v>1222</v>
  </rv>
  <rv s="4">
    <v>https://www.bing.com/financeapi/forcetrigger?t=a1ohur&amp;q=XNAS%3aBIIB&amp;form=skydnc</v>
    <v>Learn more on Bing</v>
  </rv>
  <rv s="28">
    <v>en-US</v>
    <v>a1ohur</v>
    <v>268435456</v>
    <v>1</v>
    <v>Powered by Refinitiv</v>
    <v>213</v>
    <v>BIOGEN INC. (XNAS:BIIB)</v>
    <v>180</v>
    <v>214</v>
    <v>Finance</v>
    <v>174</v>
    <v>468.55</v>
    <v>223.25</v>
    <v>0.38679999999999998</v>
    <v>-0.48</v>
    <v>-4.4770000000000001E-3</v>
    <v>-1.2130000000000001E-3</v>
    <v>-1.77</v>
    <v>USD</v>
    <v>Biogen Inc. is a biopharmaceutical company. The Company focuses on discovering, developing, manufacturing and delivering therapies to people living with serious neurological, rare and autoimmune diseases. The Company markets products, including TECFIDERA, AVONEX, PLEGRIDY, TYSABRI, ZINBRYTA and FAMPYRA for multiple sclerosis (MS), FUMADERM for the treatment of severe plaque psoriasis and SPINRAZA for the treatment of spinal muscular atrophy (SMA). It also has a collaboration agreement with Genentech, Inc. (Genentech), a member of the Roche Group, with respect to RITUXAN for the treatment of non-Hodgkin's lymphoma, chronic lymphocytic leukemia (CLL) and other conditions, GAZYVA indicated for the treatment of CLL and follicular lymphoma, and other anti-CD20 therapies. The Company's product candidate includes OCREVUS; Biosimilar adalimumab; Aducanumab; E2609; BIIB074; BAN2401; Opicinumab; CIRARA; BIIB061; BIIB054; BIIB067, and BIIB068.</v>
    <v>9100</v>
    <v>Nasdaq Stock Market</v>
    <v>XNAS</v>
    <v>XNAS</v>
    <v>225 Binney St, CAMBRIDGE, MA, 02142-1031 US</v>
    <v>399.07</v>
    <v>Pharmaceuticals</v>
    <v>Stock</v>
    <v>44355.998908784371</v>
    <v>1224</v>
    <v>373</v>
    <v>59597100000</v>
    <v>BIOGEN INC.</v>
    <v>BIOGEN INC.</v>
    <v>389.1</v>
    <v>20.765799999999999</v>
    <v>395.85</v>
    <v>395.37</v>
    <v>393.6</v>
    <v>150554700</v>
    <v>BIIB</v>
    <v>BIOGEN INC. (XNAS:BIIB)</v>
    <v>12209332</v>
    <v>1795521</v>
    <v>1997</v>
  </rv>
  <rv s="7">
    <v>1225</v>
  </rv>
  <rv s="4">
    <v>https://www.bing.com/financeapi/forcetrigger?t=b12oxm&amp;q=XNAS%3aITRM&amp;form=skydnc</v>
    <v>Learn more on Bing</v>
  </rv>
  <rv s="29">
    <v>en-US</v>
    <v>b12oxm</v>
    <v>268435456</v>
    <v>1</v>
    <v>Powered by Refinitiv</v>
    <v>215</v>
    <v>Iterum Therapeutics PLC (XNAS:ITRM)</v>
    <v>180</v>
    <v>216</v>
    <v>Finance</v>
    <v>174</v>
    <v>2.9950000000000001</v>
    <v>0.45100000000000001</v>
    <v>0.12</v>
    <v>2.2345999999999998E-2</v>
    <v>7.1856000000000003E-2</v>
    <v>0.04</v>
    <v>USD</v>
    <v>Iterum Therapeutics PLC is a clinical-stage pharmaceutical company. The Company is focused on developing significantly differentiated anti-infectives aimed at combatting the global crisis of multi-drug resistant (MDR) pathogens. The Company is developing sulopenem - the oral and intervenous (IV) penem antibiotic demonstrating a potent spectrum of activity against multi-drug resistant gram-negative. It is a bioavailable, antibiotic covering gram-positive, gram-negative and anaerobic pathogen with in-vitro activity against multidrug-resistant pathogens, including Extended-Spectrum Beta-Lactamase (ESBL)-producing Escherichia, coli and Klebsiella and pneumonia. It has demonstrated potent in vitro activity against all genera of Enterobacteriacease, in anaerobes such as Bacteroides, Prevotella, Porphyromonas, Fusobacterium and Peptostreptococcus, gram-positive organisms including methicillin-susceptible staphylococci, Streptococcus pyogenes and Streptococcus pneumonia.</v>
    <v>7</v>
    <v>Nasdaq Stock Market</v>
    <v>XNAS</v>
    <v>XNAS</v>
    <v>Block 2 Floor 3, Harcourt Centre, Harcourt Street, DUBLIN, DUBLIN IE</v>
    <v>1.81</v>
    <v>Biotechnology &amp; Medical Research</v>
    <v>Stock</v>
    <v>44355.999831214845</v>
    <v>1227</v>
    <v>1.7</v>
    <v>320658452</v>
    <v>Iterum Therapeutics PLC</v>
    <v>Iterum Therapeutics PLC</v>
    <v>1.75</v>
    <v>1.67</v>
    <v>1.79</v>
    <v>1.83</v>
    <v>179138800</v>
    <v>ITRM</v>
    <v>Iterum Therapeutics PLC (XNAS:ITRM)</v>
    <v>15867202</v>
    <v>9763939</v>
    <v>2015</v>
  </rv>
  <rv s="7">
    <v>1228</v>
  </rv>
  <rv s="4">
    <v>https://www.bing.com/financeapi/forcetrigger?t=a24g52&amp;q=XNAS%3aTQQQ&amp;form=skydnc</v>
    <v>Learn more on Bing</v>
  </rv>
  <rv s="27">
    <v>en-US</v>
    <v>a24g52</v>
    <v>268435456</v>
    <v>1</v>
    <v>Powered by Refinitiv</v>
    <v>209</v>
    <v>ProShares:UltP QQQ (XNAS:TQQQ)</v>
    <v>192</v>
    <v>210</v>
    <v>Finance</v>
    <v>211</v>
    <v>112.23</v>
    <v>40.03</v>
    <v>3.3039999999999998</v>
    <v>0.12</v>
    <v>1.333E-3</v>
    <v>1.1440000000000001E-3</v>
    <v>0.14000000000000001</v>
    <v>USD</v>
    <v>Nasdaq Stock Market</v>
    <v>XNAS</v>
    <v>9.4999999999999998E-3</v>
    <v>107.42</v>
    <v>ETF</v>
    <v>44355.999994339843</v>
    <v>1230</v>
    <v>103.425</v>
    <v>12149668453.299999</v>
    <v>ProShares:UltP QQQ</v>
    <v>106.58</v>
    <v>104.9</v>
    <v>105.02</v>
    <v>105.16</v>
    <v>TQQQ</v>
    <v>ProShares:UltP QQQ (XNAS:TQQQ)</v>
    <v>23236119</v>
    <v>34452381</v>
  </rv>
  <rv s="7">
    <v>1231</v>
  </rv>
  <rv s="4">
    <v>http://en.wikipedia.org/wiki/Tesla,_Inc.</v>
    <v>Wikipedia</v>
  </rv>
  <rv s="14">
    <v>1032</v>
    <v>1233</v>
  </rv>
  <rv s="15">
    <v>175</v>
    <v>https://www.bing.com/th?id=AMMS_8e31d52bb9ea27bdda26200517d4b1d1&amp;qlt=95</v>
    <v>1234</v>
    <v>0</v>
    <v>https://www.bing.com/images/search?form=xlimg&amp;q=tesla+motors</v>
    <v>Image of TESLA, INC.</v>
  </rv>
  <rv s="4">
    <v>https://www.bing.com/financeapi/forcetrigger?t=a24kar&amp;q=XNAS%3aTSLA&amp;form=skydnc</v>
    <v>Learn more on Bing</v>
  </rv>
  <rv s="16">
    <v>en-US</v>
    <v>a24kar</v>
    <v>268435456</v>
    <v>1</v>
    <v>Powered by Refinitiv</v>
    <v>171</v>
    <v>TESLA, INC. (XNAS:TSLA)</v>
    <v>172</v>
    <v>212</v>
    <v>Finance</v>
    <v>174</v>
    <v>900.4</v>
    <v>181.7</v>
    <v>1.9915</v>
    <v>-1.54</v>
    <v>-3.4629999999999999E-3</v>
    <v>-2.545E-3</v>
    <v>-2.09</v>
    <v>USD</v>
    <v>Tesla, Inc. designs, develops, manufactures and sells electric vehicles and designs, manufactures, installs and sells solar energy generation and energy storage products. The Company's segments include automotive, and energy generation and storage. The automotive segment includes the design, development, manufacturing, sales and leasing of electric vehicles as well as sales of automotive regulatory credits. The energy generation and storage segment include the design, manufacture, installation, sales and leasing of solar energy generation and energy storage products, services related to its products, and sales of solar energy system incentives. Its automotive products include Model 3, Model Y, Model S and Model X. Model 3 is a four-door sedan. Model Y is a sport utility vehicle (SUV) built on the Model 3 platform. Model S is a four-door sedan. Model X is an SUV. Its energy storage products include Powerwall and Powerpack.</v>
    <v>70757</v>
    <v>Nasdaq Stock Market</v>
    <v>XNAS</v>
    <v>XNAS</v>
    <v>3500 Deer Creek Rd, PALO ALTO, CA, 94304-1317 US</v>
    <v>623.09</v>
    <v>1235</v>
    <v>Automobiles &amp; Auto Parts</v>
    <v>Stock</v>
    <v>44355.99997571719</v>
    <v>1236</v>
    <v>595.5</v>
    <v>581456596136</v>
    <v>TESLA, INC.</v>
    <v>TESLA, INC.</v>
    <v>623.01</v>
    <v>609.81089999999995</v>
    <v>605.13</v>
    <v>603.59</v>
    <v>601.5</v>
    <v>963330400</v>
    <v>TSLA</v>
    <v>TESLA, INC. (XNAS:TSLA)</v>
    <v>26053405</v>
    <v>29730240</v>
    <v>2003</v>
  </rv>
  <rv s="7">
    <v>1237</v>
  </rv>
  <rv s="4">
    <v>http://en.wikipedia.org/wiki/Cisco_Systems</v>
    <v>Wikipedia</v>
  </rv>
  <rv s="14">
    <v>1032</v>
    <v>1239</v>
  </rv>
  <rv s="15">
    <v>175</v>
    <v>https://www.bing.com/th?id=AMMS_260a2f4e042134ccb72dfe738e09a885&amp;qlt=95</v>
    <v>1240</v>
    <v>0</v>
    <v>https://www.bing.com/images/search?form=xlimg&amp;q=cisco+systems</v>
    <v>Image of CISCO SYSTEMS, INC.</v>
  </rv>
  <rv s="4">
    <v>https://www.bing.com/financeapi/forcetrigger?t=a1qe5r&amp;q=XNAS%3aCSCO&amp;form=skydnc</v>
    <v>Learn more on Bing</v>
  </rv>
  <rv s="16">
    <v>en-US</v>
    <v>a1qe5r</v>
    <v>268435456</v>
    <v>1</v>
    <v>Powered by Refinitiv</v>
    <v>171</v>
    <v>CISCO SYSTEMS, INC. (XNAS:CSCO)</v>
    <v>172</v>
    <v>212</v>
    <v>Finance</v>
    <v>174</v>
    <v>54.44</v>
    <v>35.28</v>
    <v>0.89580000000000004</v>
    <v>0.21</v>
    <v>3.6949999999999998E-4</v>
    <v>3.895E-3</v>
    <v>0.02</v>
    <v>USD</v>
    <v>Cisco Systems, Inc is engaged in designing and selling a range of technologies across networking, security, collaboration, applications and the cloud. It operates through three geographic segments: Americas; Europe, Middle East, and Africa; and Asia Pacific, Japan, and China. Its product and technologies include infrastructure platforms; applications; security and other products. Infrastructure Platforms consists of its core networking technologies of switching, routing, data center products and wireless that are designed to work together to deliver networking capabilities and transport and store data. Application product category consists primarily of software-related offerings that utilize the core networking and data center platforms to provide their functions. Security product category primarily includes unified threat management products, threat security products and Web security products. Its subsidiary, ThousandEyes, Inc., offers Internet and cloud intelligence platform.</v>
    <v>77500</v>
    <v>Nasdaq Stock Market</v>
    <v>XNAS</v>
    <v>XNAS</v>
    <v>170 West Tasman Dr, SAN JOSE, CA, 95134-1706 US</v>
    <v>54.39</v>
    <v>1241</v>
    <v>Communications &amp; Networking</v>
    <v>Stock</v>
    <v>44355.999661608592</v>
    <v>1242</v>
    <v>53.89</v>
    <v>228114916650</v>
    <v>CISCO SYSTEMS, INC.</v>
    <v>CISCO SYSTEMS, INC.</v>
    <v>53.97</v>
    <v>22.365400000000001</v>
    <v>53.92</v>
    <v>54.13</v>
    <v>54.15</v>
    <v>4214205000</v>
    <v>CSCO</v>
    <v>CISCO SYSTEMS, INC. (XNAS:CSCO)</v>
    <v>15329693</v>
    <v>21612419</v>
    <v>2021</v>
  </rv>
  <rv s="7">
    <v>1243</v>
  </rv>
  <rv s="4">
    <v>http://en.wikipedia.org/wiki/Ford_Motor_Company</v>
    <v>Wikipedia</v>
  </rv>
  <rv s="14">
    <v>1032</v>
    <v>1245</v>
  </rv>
  <rv s="15">
    <v>175</v>
    <v>https://www.bing.com/th?id=AMMS_cf0311a5f2d2dcb3110aca1404330618&amp;qlt=95</v>
    <v>1246</v>
    <v>0</v>
    <v>https://www.bing.com/images/search?form=xlimg&amp;q=ford+motor+company</v>
    <v>Image of FORD MOTOR COMPANY</v>
  </rv>
  <rv s="4">
    <v>https://www.bing.com/financeapi/forcetrigger?t=a1sjw7&amp;q=XNYS%3aF&amp;form=skydnc</v>
    <v>Learn more on Bing</v>
  </rv>
  <rv s="16">
    <v>en-US</v>
    <v>a1sjw7</v>
    <v>268435456</v>
    <v>1</v>
    <v>Powered by Refinitiv</v>
    <v>171</v>
    <v>FORD MOTOR COMPANY (XNYS:F)</v>
    <v>172</v>
    <v>212</v>
    <v>Finance</v>
    <v>174</v>
    <v>16.454999999999998</v>
    <v>5.74</v>
    <v>1.1406000000000001</v>
    <v>-0.25</v>
    <v>0</v>
    <v>-1.5743E-2</v>
    <v>0</v>
    <v>USD</v>
    <v>Ford Motor Company is an automobile company that designs, manufactures, markets, and services a full line of Ford trucks, utility vehicles, cars as well as Lincoln luxury vehicles. The Company operates in three segments: Automotive, Mobility and Ford Credit. The Automotive segment is engaged in developing, manufacturing, distributing, and servicing the vehicles, parts and accessories of Ford and Lincoln vehicles. The Mobility segment primarily includes the development of Ford’s autonomous vehicles and related businesses. The Company also holds ownership is Argo AI, which is a developer of autonomous driving systems, and Spin, which is a micro-mobility service provider. The Ford Credit segment is comprised of the Ford Credit business on a consolidated basis, which is primarily vehicle-related financing and leasing activities. Ford Credit offers a wide variety of automotive financing products to and through automotive dealers throughout the world.</v>
    <v>186000</v>
    <v>New York Stock Exchange</v>
    <v>XNYS</v>
    <v>XNYS</v>
    <v>1 American Rd, DEARBORN, MI, 48126-2701 US</v>
    <v>15.8</v>
    <v>1247</v>
    <v>Automobiles &amp; Auto Parts</v>
    <v>Stock</v>
    <v>44355.999976214844</v>
    <v>1248</v>
    <v>15.33</v>
    <v>61281978960</v>
    <v>FORD MOTOR COMPANY</v>
    <v>FORD MOTOR COMPANY</v>
    <v>15.76</v>
    <v>16.127700000000001</v>
    <v>15.88</v>
    <v>15.63</v>
    <v>15.63</v>
    <v>3920792000</v>
    <v>F</v>
    <v>FORD MOTOR COMPANY (XNYS:F)</v>
    <v>93891092</v>
    <v>101316703</v>
    <v>1919</v>
  </rv>
  <rv s="7">
    <v>1249</v>
  </rv>
  <rv s="4">
    <v>https://www.bing.com/financeapi/forcetrigger?t=a1nnsm&amp;q=XNYS%3aAR&amp;form=skydnc</v>
    <v>Learn more on Bing</v>
  </rv>
  <rv s="28">
    <v>en-US</v>
    <v>a1nnsm</v>
    <v>268435456</v>
    <v>1</v>
    <v>Powered by Refinitiv</v>
    <v>213</v>
    <v>ANTERO RESOURCES CORPORATION (XNYS:AR)</v>
    <v>180</v>
    <v>214</v>
    <v>Finance</v>
    <v>174</v>
    <v>13.875</v>
    <v>2.2999999999999998</v>
    <v>4.7561</v>
    <v>0.15</v>
    <v>-1.4680000000000001E-3</v>
    <v>1.1136E-2</v>
    <v>-0.02</v>
    <v>USD</v>
    <v>Antero Resources Corporation is an oil and natural gas company. The Company is engaged in the exploration, development and acquisition of natural gas, natural gas liquids (NGLs) and oil properties located in the Appalachian Basin. The Company's segments include the exploration, development and production of natural gas, NGLs and oil; gathering and processing; water handling and treatment, and marketing of excess firm transportation capacity. The Company's subsidiary, Antero Midstream Partners LP (Antero Midstream) is a master limited partnership, which owns, operates and develops midstream energy infrastructure primarily to service its production and completion activity. Its exploration and development activities are supported by the natural gas gathering and compression assets of its subsidiary, Antero Midstream, as well as by third party gathering and compression arrangements. It also has access to additional low-pressure and high-pressure pipelines.</v>
    <v>520</v>
    <v>New York Stock Exchange</v>
    <v>XNYS</v>
    <v>XNYS</v>
    <v>1615 Wynkoop St, DENVER, CO, 80202-1106 US</v>
    <v>13.875</v>
    <v>Oil &amp; Gas</v>
    <v>Stock</v>
    <v>44355.997259003903</v>
    <v>1251</v>
    <v>13.2</v>
    <v>4269721541</v>
    <v>ANTERO RESOURCES CORPORATION</v>
    <v>ANTERO RESOURCES CORPORATION</v>
    <v>13.45</v>
    <v>0</v>
    <v>13.47</v>
    <v>13.62</v>
    <v>13.6</v>
    <v>313489100</v>
    <v>AR</v>
    <v>ANTERO RESOURCES CORPORATION (XNYS:AR)</v>
    <v>5914784</v>
    <v>7201334</v>
    <v>2002</v>
  </rv>
  <rv s="7">
    <v>1252</v>
  </rv>
  <rv s="4">
    <v>http://en.wikipedia.org/wiki/Kodak</v>
    <v>Wikipedia</v>
  </rv>
  <rv s="14">
    <v>1032</v>
    <v>1254</v>
  </rv>
  <rv s="15">
    <v>175</v>
    <v>https://www.bing.com/th?id=AMMS_4222ab9fd251d8a06f359ade06a95716&amp;qlt=95</v>
    <v>1255</v>
    <v>0</v>
    <v>https://www.bing.com/images/search?form=xlimg&amp;q=eastman+kodak</v>
    <v>Image of EASTMAN KODAK COMPANY</v>
  </rv>
  <rv s="4">
    <v>https://www.bing.com/financeapi/forcetrigger?t=a1wlm7&amp;q=XNYS%3aKODK&amp;form=skydnc</v>
    <v>Learn more on Bing</v>
  </rv>
  <rv s="16">
    <v>en-US</v>
    <v>a1wlm7</v>
    <v>268435456</v>
    <v>1</v>
    <v>Powered by Refinitiv</v>
    <v>171</v>
    <v>EASTMAN KODAK COMPANY (XNYS:KODK)</v>
    <v>172</v>
    <v>212</v>
    <v>Finance</v>
    <v>174</v>
    <v>60</v>
    <v>2</v>
    <v>5.3811</v>
    <v>2.38</v>
    <v>2.2623999999999998E-2</v>
    <v>0.27451000000000003</v>
    <v>0.25</v>
    <v>USD</v>
    <v>Eastman Kodak Company is a global commercial printing and imaging company with technologies in materials science, digital imaging science and software, and deposition processes. The Company provides hardware, software, consumables and services to customers in graphic arts, commercial print, publishing, packaging, electronic displays, entertainment and commercial films, and consumer products markets. The Company operates through seven segments: Print Systems, Micro 3D Printing and Packaging, Software and Solutions, Consumer and Film, Enterprise Inkjet Systems, Advanced Materials and 3D Printing Technology and Eastman Business Park. The Print Systems segment comprises two lines of business: Prepress Solutions and Electrophotographic Printing Solutions. The Micro 3D Printing and Packaging segment comprises two lines of business: Packaging and Micro 3D Printing.</v>
    <v>4500</v>
    <v>New York Stock Exchange</v>
    <v>XNYS</v>
    <v>XNYS</v>
    <v>343 STATE ST, ROCHESTER, NY, 14650-0910 US</v>
    <v>11.26</v>
    <v>1256</v>
    <v>Computers, Phones &amp; Household Electronics</v>
    <v>Stock</v>
    <v>44355.999897603906</v>
    <v>1257</v>
    <v>8.7210000000000001</v>
    <v>867463454</v>
    <v>EASTMAN KODAK COMPANY</v>
    <v>EASTMAN KODAK COMPANY</v>
    <v>8.77</v>
    <v>0</v>
    <v>8.67</v>
    <v>11.05</v>
    <v>11.3</v>
    <v>78503480</v>
    <v>KODK</v>
    <v>EASTMAN KODAK COMPANY (XNYS:KODK)</v>
    <v>26139209</v>
    <v>3105674</v>
    <v>1901</v>
  </rv>
  <rv s="7">
    <v>1258</v>
  </rv>
  <rv s="4">
    <v>http://en.wikipedia.org/wiki/Bank_of_America</v>
    <v>Wikipedia</v>
  </rv>
  <rv s="14">
    <v>1032</v>
    <v>1260</v>
  </rv>
  <rv s="15">
    <v>175</v>
    <v>https://www.bing.com/th?id=AMMS_0720042c42661f705c810fedd777349a&amp;qlt=95</v>
    <v>1261</v>
    <v>0</v>
    <v>https://www.bing.com/images/search?form=xlimg&amp;q=bank+of+america</v>
    <v>Image of BANK OF AMERICA CORPORATION</v>
  </rv>
  <rv s="4">
    <v>https://www.bing.com/financeapi/forcetrigger?t=a1o4sm&amp;q=XNYS%3aBAC&amp;form=skydnc</v>
    <v>Learn more on Bing</v>
  </rv>
  <rv s="16">
    <v>en-US</v>
    <v>a1o4sm</v>
    <v>268435456</v>
    <v>1</v>
    <v>Powered by Refinitiv</v>
    <v>171</v>
    <v>BANK OF AMERICA CORPORATION (XNYS:BAC)</v>
    <v>172</v>
    <v>212</v>
    <v>Finance</v>
    <v>174</v>
    <v>43.49</v>
    <v>22.39</v>
    <v>1.5583</v>
    <v>-0.24</v>
    <v>9.3280000000000001E-4</v>
    <v>-5.5659999999999998E-3</v>
    <v>0.04</v>
    <v>USD</v>
    <v>Bank of America Corporation is a bank holding company and a financial holding company. The Company is a financial institution, serving individual consumers and others with a range of banking, investing, asset management and other financial and risk management products and services. The Company, through its banking and various non-bank subsidiaries, throughout the United States and in international markets, provides a range of banking and non-bank financial services and products through four business segments: Consumer Banking, which comprises Deposits and Consumer Lending; Global Wealth &amp; Investment Management, which consists of two primary businesses: Merrill Lynch Global Wealth Management and U.S. Trust, Bank of America Private Wealth Management; Global Banking, which provides a range of lending-related products and services; Global Markets, which offers sales and trading services, and All Other, which consists of equity investments, residual expense allocations and other.</v>
    <v>212000</v>
    <v>New York Stock Exchange</v>
    <v>XNYS</v>
    <v>XNYS</v>
    <v>Bank of America Corporate Center, 100 N Tryon St, CHARLOTTE, NC, 28255-0001 US</v>
    <v>43.24</v>
    <v>1262</v>
    <v>Banking Services</v>
    <v>Stock</v>
    <v>44355.999671203128</v>
    <v>1263</v>
    <v>42.424999999999997</v>
    <v>367452312960</v>
    <v>BANK OF AMERICA CORPORATION</v>
    <v>BANK OF AMERICA CORPORATION</v>
    <v>42.86</v>
    <v>18.4816</v>
    <v>43.12</v>
    <v>42.88</v>
    <v>42.92</v>
    <v>8569317000</v>
    <v>BAC</v>
    <v>BANK OF AMERICA CORPORATION (XNYS:BAC)</v>
    <v>41871447</v>
    <v>40526248</v>
    <v>1998</v>
  </rv>
  <rv s="7">
    <v>1264</v>
  </rv>
  <rv s="4">
    <v>http://es.wikipedia.org/wiki/Alibaba_Group</v>
    <v>Wikipedia</v>
  </rv>
  <rv s="14">
    <v>1039</v>
    <v>1266</v>
  </rv>
  <rv s="15">
    <v>175</v>
    <v>https://www.bing.com/th?id=AMMS_d4f7a1607c28c2adbf05d2cfaaa1af35&amp;qlt=95</v>
    <v>1267</v>
    <v>0</v>
    <v>https://www.bing.com/images/search?form=xlimg&amp;q=alibaba+group</v>
    <v>Image of Alibaba Group Holding Limited</v>
  </rv>
  <rv s="4">
    <v>https://www.bing.com/financeapi/forcetrigger?t=a1o4mw&amp;q=XNYS%3aBABA&amp;form=skydnc</v>
    <v>Learn more on Bing</v>
  </rv>
  <rv s="16">
    <v>en-US</v>
    <v>a1o4mw</v>
    <v>268435456</v>
    <v>1</v>
    <v>Powered by Refinitiv</v>
    <v>171</v>
    <v>Alibaba Group Holding Limited (XNYS:BABA)</v>
    <v>172</v>
    <v>212</v>
    <v>Finance</v>
    <v>174</v>
    <v>319.32</v>
    <v>204.39</v>
    <v>0.80169999999999997</v>
    <v>-1.08</v>
    <v>5.5599999999999996E-4</v>
    <v>-4.9789999999999999E-3</v>
    <v>0.12</v>
    <v>USD</v>
    <v>Alibaba Group Holding Ltd is a holding company that provides the technology infrastructure and marketing reach to help merchants, brands and other businesses to leverage the power of new technology to engage with users and customers to operate. The Company operates four business segments. The Core Commerce segment provides China retail, China wholesale, International retail, International wholesale, Cainiao logistics services and local consumer services through Taobao Marketplace and Tmall. The Cloud Computing segment provides complete suite of cloud services, including database, storage, network virtualization services, big data analytics and others. The Digital Media and Entertainment segment provides consumer services beyond the core business operations. The Innovation Initiatives and Others segment is to innovate and deliver new services and products.</v>
    <v>252084</v>
    <v>New York Stock Exchange</v>
    <v>XNYS</v>
    <v>XNYS</v>
    <v>No. 699 Wangshang Road, Binjiang District, HANGZHOU, ZHEJIANG, 310052 CN</v>
    <v>218.23</v>
    <v>1268</v>
    <v>Software &amp; IT Services</v>
    <v>Stock</v>
    <v>44355.999967962503</v>
    <v>1269</v>
    <v>214.74</v>
    <v>585113702580</v>
    <v>Alibaba Group Holding Limited</v>
    <v>Alibaba Group Holding Limited</v>
    <v>217.29</v>
    <v>25.991800000000001</v>
    <v>216.9</v>
    <v>215.82</v>
    <v>215.94</v>
    <v>2711119000</v>
    <v>BABA</v>
    <v>Alibaba Group Holding Limited (XNYS:BABA)</v>
    <v>9443049</v>
    <v>17184255</v>
    <v>1999</v>
  </rv>
  <rv s="7">
    <v>1270</v>
  </rv>
  <rv s="4">
    <v>http://en.wikipedia.org/wiki/Citigroup</v>
    <v>Wikipedia</v>
  </rv>
  <rv s="14">
    <v>1032</v>
    <v>1272</v>
  </rv>
  <rv s="15">
    <v>175</v>
    <v>https://www.bing.com/th?id=AMMS_761dcd4c0ed01f53f5a8e667db77edfc&amp;qlt=95</v>
    <v>1273</v>
    <v>0</v>
    <v>https://www.bing.com/images/search?form=xlimg&amp;q=citigroup</v>
    <v>Image of CITIGROUP INC.</v>
  </rv>
  <rv s="4">
    <v>https://www.bing.com/financeapi/forcetrigger?t=a1p3ww&amp;q=XNYS%3aC&amp;form=skydnc</v>
    <v>Learn more on Bing</v>
  </rv>
  <rv s="16">
    <v>en-US</v>
    <v>a1p3ww</v>
    <v>268435456</v>
    <v>1</v>
    <v>Powered by Refinitiv</v>
    <v>171</v>
    <v>CITIGROUP INC. (XNYS:C)</v>
    <v>172</v>
    <v>212</v>
    <v>Finance</v>
    <v>174</v>
    <v>80.290000000000006</v>
    <v>40.49</v>
    <v>1.9065000000000001</v>
    <v>-0.23</v>
    <v>7.5870000000000006E-4</v>
    <v>-2.8999999999999998E-3</v>
    <v>0.06</v>
    <v>USD</v>
    <v>Citigroup Inc. is a diversified financial services holding company. The Company provides a range of financial products and services, including consumer banking and credit, corporate and investment banking, securities brokerage, trade and securities services and wealth management. Its business segments include Global Consumer Banking (GCB), Institutional Clients Group (ICG) and Corporate/Other. GCB segment provides traditional banking services to retail customers through retail banking, Citi-branded cards and Citi retail services. ICG segment provides corporate, institutional, public sector and high-net-worth clients with a range of wholesale banking products and services, including fixed income and equity sales and trading, foreign exchange, prime brokerage, derivative services, corporate lending, investment banking and advisory services, private banking, and securities services. Corporate/Other segment includes corporate treasury, operations and technology, and consumer loans.</v>
    <v>211000</v>
    <v>New York Stock Exchange</v>
    <v>XNYS</v>
    <v>XNYS</v>
    <v>388 Greenwich St, NEW YORK, NY, 10013-2375 US</v>
    <v>79.42</v>
    <v>1274</v>
    <v>Banking Services</v>
    <v>Stock</v>
    <v>44355.999785856249</v>
    <v>1275</v>
    <v>77.709999999999994</v>
    <v>163937500000</v>
    <v>CITIGROUP INC.</v>
    <v>CITIGROUP INC.</v>
    <v>78.3</v>
    <v>10.888500000000001</v>
    <v>79.31</v>
    <v>79.08</v>
    <v>79.14</v>
    <v>2067048000</v>
    <v>C</v>
    <v>CITIGROUP INC. (XNYS:C)</v>
    <v>15399063</v>
    <v>17502838</v>
    <v>1988</v>
  </rv>
  <rv s="7">
    <v>1276</v>
  </rv>
  <rv s="4">
    <v>https://www.bing.com/financeapi/forcetrigger?t=bjqejc&amp;q=XNYS%3aNIO&amp;form=skydnc</v>
    <v>Learn more on Bing</v>
  </rv>
  <rv s="30">
    <v>en-US</v>
    <v>bjqejc</v>
    <v>268435456</v>
    <v>1</v>
    <v>Powered by Refinitiv</v>
    <v>217</v>
    <v>NIO INC. (XNYS:NIO)</v>
    <v>180</v>
    <v>218</v>
    <v>Finance</v>
    <v>174</v>
    <v>66.989999999999995</v>
    <v>5.66</v>
    <v>-0.12</v>
    <v>-4.8209999999999998E-3</v>
    <v>-2.7469999999999999E-3</v>
    <v>-0.21</v>
    <v>USD</v>
    <v>Nio, Inc. designs, manufactures and sells smart and connected electric vehicles. It manufactures autonomous driving electric vehicles integrated with next generation technologies and artificial intelligence. It manufactures ES8, which is a seven-seated all aluminum alloy body electric sports utility vehicle (SUV). It is equipped with e-propulsion system which is capable of accelerating from zero to 100 km per hour in 4.4 seconds and delivering a New European Driving Cycle driving range of up to 355 Kilometers (km) and a maximum range of up to 500 km in a single charge. It is also focused on providing vehicle charging solutions, which include Power Home, Power Swap, Power Mobile and Power Express service. It also offers various value-added services to its users, such as statutory and third-party liability insurance and car damage insurance through third-party insurers, repair and routine maintenance services, courtesy car during lengthy repairs and maintenance and roadside assistance.</v>
    <v>7763</v>
    <v>New York Stock Exchange</v>
    <v>XNYS</v>
    <v>XNYS</v>
    <v>Building 20, No. 56 Antuo Road, Anting Town, Jiading District, Shanghai, SHANGHAI, 201804 CN</v>
    <v>44.89</v>
    <v>Automobiles &amp; Auto Parts</v>
    <v>Stock</v>
    <v>44355.999982858593</v>
    <v>1278</v>
    <v>42.82</v>
    <v>54438892200</v>
    <v>NIO INC.</v>
    <v>NIO INC.</v>
    <v>44.46</v>
    <v>0</v>
    <v>43.68</v>
    <v>43.56</v>
    <v>43.35</v>
    <v>1249745000</v>
    <v>NIO</v>
    <v>NIO INC. (XNYS:NIO)</v>
    <v>50332250</v>
    <v>69981165</v>
    <v>2014</v>
  </rv>
  <rv s="7">
    <v>1279</v>
  </rv>
  <rv s="4">
    <v>https://www.bing.com/financeapi/forcetrigger?t=a1nutc&amp;q=XNYS%3aAT&amp;form=skydnc</v>
    <v>Learn more on Bing</v>
  </rv>
  <rv s="28">
    <v>en-US</v>
    <v>a1nutc</v>
    <v>268435456</v>
    <v>1</v>
    <v>Powered by Refinitiv</v>
    <v>219</v>
    <v>ATLANTIC POWER CORPORATION (XNYS:AT)</v>
    <v>220</v>
    <v>214</v>
    <v>Finance</v>
    <v>174</v>
    <v>3.06</v>
    <v>1.8149999999999999</v>
    <v>0.1444</v>
    <v>0</v>
    <v>0</v>
    <v>0</v>
    <v>0</v>
    <v>USD</v>
    <v>Atlantic Power Corporation (Atlantic Power) is an independent power producer that owns power generation assets approximately in 11 states in the United States and two provinces in Canada. The Company's power generation projects sell electricity to utilities and other customers mainly under long-term power purchase agreements (PPAs), to minimize exposure to changes in commodity prices. The projects are diversified by geography, fuel type, dispatch profile and offtaker. The Company has four segment, such as solid fuel, natural gas, hydroelectric and corporate. The Company directly operate and maintain approximately 16 power generation projects. The Company also sell steam from several projects to industrial purchasers. The Company’s portfolio consisted of approximately 21 operating projects.</v>
    <v>261</v>
    <v>New York Stock Exchange</v>
    <v>XNYS</v>
    <v>XNYS</v>
    <v>3 Allied Dr Ste 220, DEDHAM, MA, 02026-6148 US</v>
    <v>3.03</v>
    <v>Electrical Utilities &amp; IPPs</v>
    <v>Stock</v>
    <v>44330.958333333336</v>
    <v>1281</v>
    <v>3.02</v>
    <v>271189356</v>
    <v>ATLANTIC POWER CORPORATION</v>
    <v>ATLANTIC POWER CORPORATION</v>
    <v>3.03</v>
    <v>8.3414000000000001</v>
    <v>3.02</v>
    <v>3.02</v>
    <v>3.02</v>
    <v>89797800</v>
    <v>AT</v>
    <v>ATLANTIC POWER CORPORATION (XNYS:AT)</v>
    <v>919051</v>
    <v>1124879</v>
    <v>2004</v>
  </rv>
  <rv s="7">
    <v>1282</v>
  </rv>
  <rv s="4">
    <v>https://www.bing.com/financeapi/forcetrigger?t=a1zqnm&amp;q=XNYS%3aPFE&amp;form=skydnc</v>
    <v>Learn more on Bing</v>
  </rv>
  <rv s="28">
    <v>en-US</v>
    <v>a1zqnm</v>
    <v>268435456</v>
    <v>1</v>
    <v>Powered by Refinitiv</v>
    <v>213</v>
    <v>PFIZER INC. (XNYS:PFE)</v>
    <v>180</v>
    <v>214</v>
    <v>Finance</v>
    <v>174</v>
    <v>43.079700000000003</v>
    <v>29.964700000000001</v>
    <v>0.72609999999999997</v>
    <v>-0.14000000000000001</v>
    <v>5.1479999999999994E-4</v>
    <v>-3.5909999999999996E-3</v>
    <v>0.02</v>
    <v>USD</v>
    <v>Pfizer Inc. (Pfizer) is a research-based global biopharmaceutical company. The Company is engaged in the discovery, development and manufacture of healthcare products. Its global portfolio includes medicines and vaccines. The Company manages its commercial operations through two business segments: Pfizer Innovative Health (IH) and Pfizer Essential Health (EH). IH focuses on developing and commercializing medicines and vaccines. IH therapeutic areas include internal medicine, vaccines, oncology, inflammation and immunology, rare diseases and consumer healthcare. EH includes legacy brands, branded generics, generic sterile injectable products, biosimilars and infusion systems. EH also includes a research and development (R&amp;D) organization, as well as its contract manufacturing business. Its brands include Prevnar 13, Xeljanz, Eliquis, Lipitor, Celebrex, Pristiq and Viagra.</v>
    <v>78500</v>
    <v>New York Stock Exchange</v>
    <v>XNYS</v>
    <v>XNYS</v>
    <v>235 E 42ND ST, NEW YORK, NY, 10017-5703 US</v>
    <v>39.11</v>
    <v>Pharmaceuticals</v>
    <v>Stock</v>
    <v>44355.997978796091</v>
    <v>1284</v>
    <v>38.475000000000001</v>
    <v>217470411900</v>
    <v>PFIZER INC.</v>
    <v>PFIZER INC.</v>
    <v>39.07</v>
    <v>23.3691</v>
    <v>38.99</v>
    <v>38.85</v>
    <v>38.869999999999997</v>
    <v>5597694000</v>
    <v>PFE</v>
    <v>PFIZER INC. (XNYS:PFE)</v>
    <v>18880307</v>
    <v>28776475</v>
    <v>1942</v>
  </rv>
  <rv s="7">
    <v>1285</v>
  </rv>
  <rv s="4">
    <v>https://www.bing.com/financeapi/forcetrigger?t=bqef7w&amp;q=XNYS%3aFVRR&amp;form=skydnc</v>
    <v>Learn more on Bing</v>
  </rv>
  <rv s="30">
    <v>en-US</v>
    <v>bqef7w</v>
    <v>268435456</v>
    <v>1</v>
    <v>Powered by Refinitiv</v>
    <v>217</v>
    <v>FIVERR INTERNATIONAL LTD (XNYS:FVRR)</v>
    <v>180</v>
    <v>218</v>
    <v>Finance</v>
    <v>174</v>
    <v>336</v>
    <v>57.75</v>
    <v>5.91</v>
    <v>4.7559999999999999E-5</v>
    <v>2.8923999999999998E-2</v>
    <v>0.01</v>
    <v>USD</v>
    <v>Fiverr International Ltd is an Israel-based company that operates an online marketplace worldwide. Its platform connects businesses with freelancers offering digital services in more than 200 categories, across more than seven verticals including graphic design, digital marketing, programming, video and animation. Its buyers include businesses of various sizes, as well as sellers comprise a group of freelancers and small businesses. The Company’s global community of freelancers spans across more than 160 countries.</v>
    <v>545</v>
    <v>New York Stock Exchange</v>
    <v>XNYS</v>
    <v>XNYS</v>
    <v>8 Eliezer Kaplan St, TEL AVIV-YAFO, 6473409 IL</v>
    <v>212.44</v>
    <v>Software &amp; IT Services</v>
    <v>Stock</v>
    <v>44355.998188124999</v>
    <v>1287</v>
    <v>205.4873</v>
    <v>7535628115</v>
    <v>FIVERR INTERNATIONAL LTD</v>
    <v>FIVERR INTERNATIONAL LTD</v>
    <v>207.04</v>
    <v>0</v>
    <v>204.33</v>
    <v>210.24</v>
    <v>210.25</v>
    <v>35842980</v>
    <v>FVRR</v>
    <v>FIVERR INTERNATIONAL LTD (XNYS:FVRR)</v>
    <v>523617</v>
    <v>755971</v>
    <v>2010</v>
  </rv>
  <rv s="7">
    <v>1288</v>
  </rv>
  <rv s="4">
    <v>http://en.wikipedia.org/wiki/Slack_Technologies</v>
    <v>Wikipedia</v>
  </rv>
  <rv s="14">
    <v>1032</v>
    <v>1290</v>
  </rv>
  <rv s="15">
    <v>175</v>
    <v>https://www.bing.com/th?id=AMMS_4beca558cb36f676a79fb72f9bd6dfb3&amp;qlt=95</v>
    <v>1291</v>
    <v>0</v>
    <v>https://www.bing.com/images/search?form=xlimg&amp;q=slack+technologies</v>
    <v>Image of SLACK TECHNOLOGIES, INC.</v>
  </rv>
  <rv s="4">
    <v>https://www.bing.com/financeapi/forcetrigger?t=bqievh&amp;q=XNYS%3aWORK&amp;form=skydnc</v>
    <v>Learn more on Bing</v>
  </rv>
  <rv s="31">
    <v>en-US</v>
    <v>bqievh</v>
    <v>268435456</v>
    <v>1</v>
    <v>Powered by Refinitiv</v>
    <v>221</v>
    <v>SLACK TECHNOLOGIES, INC. (XNYS:WORK)</v>
    <v>172</v>
    <v>222</v>
    <v>Finance</v>
    <v>174</v>
    <v>44.67</v>
    <v>24.09</v>
    <v>-0.3</v>
    <v>-3.6340000000000001E-3</v>
    <v>-6.7669999999999996E-3</v>
    <v>-0.16</v>
    <v>USD</v>
    <v>Slack Technologies, Inc operates a business technology software platform that brings together people, applications, and data and sells its offering under a software-as-a-service model. The Company offers Slack, a team communication tool that consists of a set of open, documented application programming interface (APIs), developer tools, and an App Directory that lists apps that have met the guidelines. Organizations on Slack use its platform to create internal applications and integrations, ranging from simple notifications to complex internal workflows. Third-party developers build integrations and applications that make it easier for their existing customers to engage with their products as well as find new customers. Slack is a layer of the business technology, where people work together connect all their other software tools and services and find the information they need.</v>
    <v>2545</v>
    <v>New York Stock Exchange</v>
    <v>XNYS</v>
    <v>XNYS</v>
    <v>500 Howard St, SAN FRANCISCO, CA, 94105 US</v>
    <v>44.67</v>
    <v>1292</v>
    <v>Software &amp; IT Services</v>
    <v>Stock</v>
    <v>44355.99805280078</v>
    <v>1293</v>
    <v>43.94</v>
    <v>25833061450</v>
    <v>SLACK TECHNOLOGIES, INC.</v>
    <v>SLACK TECHNOLOGIES, INC.</v>
    <v>44.4</v>
    <v>0</v>
    <v>44.33</v>
    <v>44.03</v>
    <v>43.87</v>
    <v>586715000</v>
    <v>WORK</v>
    <v>SLACK TECHNOLOGIES, INC. (XNYS:WORK)</v>
    <v>6290240</v>
    <v>4438514</v>
    <v>2009</v>
  </rv>
  <rv s="7">
    <v>1294</v>
  </rv>
  <rv s="4">
    <v>https://www.bing.com/financeapi/forcetrigger?t=bvgif2&amp;q=XNYS%3a&amp;form=skydnc</v>
    <v>Learn more on Bing</v>
  </rv>
  <rv s="32">
    <v>en-US</v>
    <v>bvgif2</v>
    <v>268435456</v>
    <v>1</v>
    <v>Powered by Refinitiv</v>
    <v>223</v>
    <v>NAVSIGHT HOLDINGS UNT (XNYS)</v>
    <v>192</v>
    <v>224</v>
    <v>Finance</v>
    <v>225</v>
    <v>USD</v>
    <v>New York Stock Exchange</v>
    <v>XNYS</v>
    <v>ETF</v>
    <v>1296</v>
    <v>NAVSIGHT HOLDINGS UNT</v>
    <v>NAVSIGHT HOLDINGS UNT (XNYS)</v>
  </rv>
  <rv s="7">
    <v>1297</v>
  </rv>
  <rv s="33">
    <v>12</v>
    <v>Price</v>
    <v>0</v>
  </rv>
  <rv s="4">
    <v>http://ko.wikipedia.org/wiki/웰스_파고</v>
    <v>Wikipedia</v>
  </rv>
  <rv s="14">
    <v>1032</v>
    <v>1300</v>
  </rv>
  <rv s="15">
    <v>175</v>
    <v>https://www.bing.com/th?id=AMMS_389f91394f515eb0aefb57de7a642ccc&amp;qlt=95</v>
    <v>1301</v>
    <v>0</v>
    <v>https://www.bing.com/images/search?form=xlimg&amp;q=wells+fargo</v>
    <v>Image of WELLS FARGO &amp; COMPANY</v>
  </rv>
  <rv s="4">
    <v>https://www.bing.com/financeapi/forcetrigger?t=a25tgh&amp;q=XNYS%3aWFC&amp;form=skydnc</v>
    <v>Learn more on Bing</v>
  </rv>
  <rv s="16">
    <v>en-US</v>
    <v>a25tgh</v>
    <v>268435456</v>
    <v>1</v>
    <v>Powered by Refinitiv</v>
    <v>171</v>
    <v>WELLS FARGO &amp; COMPANY (XNYS:WFC)</v>
    <v>172</v>
    <v>212</v>
    <v>Finance</v>
    <v>174</v>
    <v>48.13</v>
    <v>20.76</v>
    <v>1.3517999999999999</v>
    <v>-0.5</v>
    <v>0</v>
    <v>-1.0612999999999999E-2</v>
    <v>0</v>
    <v>USD</v>
    <v>Wells Fargo &amp; Company is a bank holding company. The Company is a diversified financial services company. The Company provides banking, investment and mortgage products and services, through banking locations and offices, the Internet and other distribution channels to individuals, businesses and institutions in states, the District of Columbia and in countries outside the United States. The Company provides consumer financial products and services including checking and savings accounts, credit and debit cards, and auto, mortgage and home equity, and small business lending. It provides other offer financial planning, private banking, investment management, and fiduciary services. The Company also provides financial solutions to businesses through products and services including traditional commercial loans and lines of credit, letters of credit, asset-based lending, trade financing, treasury management, and investment banking services.</v>
    <v>264513</v>
    <v>New York Stock Exchange</v>
    <v>XNYS</v>
    <v>XNYS</v>
    <v>420 Montgomery St, SAN FRANCISCO, CA, 94104-1207 US</v>
    <v>47.01</v>
    <v>1302</v>
    <v>Banking Services</v>
    <v>Stock</v>
    <v>44355.999970149998</v>
    <v>1303</v>
    <v>46.303199999999997</v>
    <v>192665744310</v>
    <v>WELLS FARGO &amp; COMPANY</v>
    <v>WELLS FARGO &amp; COMPANY</v>
    <v>46.74</v>
    <v>32.745699999999999</v>
    <v>47.11</v>
    <v>46.61</v>
    <v>46.61</v>
    <v>4133571000</v>
    <v>WFC</v>
    <v>WELLS FARGO &amp; COMPANY (XNYS:WFC)</v>
    <v>21271669</v>
    <v>24724077</v>
    <v>1929</v>
  </rv>
  <rv s="7">
    <v>1304</v>
  </rv>
  <rv s="4">
    <v>http://no.wikipedia.org/wiki/Twitter</v>
    <v>Wikipedia</v>
  </rv>
  <rv s="14">
    <v>1032</v>
    <v>1306</v>
  </rv>
  <rv s="15">
    <v>175</v>
    <v>https://www.bing.com/th?id=AMMS_e616448e16a88dfcb98701516863e901&amp;qlt=95</v>
    <v>1307</v>
    <v>0</v>
    <v>https://www.bing.com/images/search?form=xlimg&amp;q=twitter</v>
    <v>Image of TWITTER, INC.</v>
  </rv>
  <rv s="4">
    <v>https://www.bing.com/financeapi/forcetrigger?t=a24op2&amp;q=XNYS%3aTWTR&amp;form=skydnc</v>
    <v>Learn more on Bing</v>
  </rv>
  <rv s="16">
    <v>en-US</v>
    <v>a24op2</v>
    <v>268435456</v>
    <v>1</v>
    <v>Powered by Refinitiv</v>
    <v>171</v>
    <v>TWITTER, INC. (XNYS:TWTR)</v>
    <v>172</v>
    <v>212</v>
    <v>Finance</v>
    <v>174</v>
    <v>80.75</v>
    <v>28.23</v>
    <v>0.75</v>
    <v>-0.82</v>
    <v>-1.5299999999999999E-3</v>
    <v>-1.3750999999999999E-2</v>
    <v>-0.09</v>
    <v>USD</v>
    <v>Twitter, Inc. offers products and services for users, advertisers, developers and data partners. The Company's products and services include Twitter, Periscope, Promoted Tweets, Promoted Accounts and Promoted Trends. Its Twitter is a platform for public self-expression and conversation in real time. Periscope broadcasts can also be viewed through Twitter and on desktop or mobile Web browser. Its Promoted Products enable its advertisers to promote their brands, products and services, amplify their visibility and reach, and extend the conversation around their advertising campaigns. Promoted Accounts appear in the same format and place as accounts suggested by its Who to Follow recommendation engine, or in some cases, in Tweets in a user's timeline. Promoted Trends appear at the top of the list of trending topics for an entire day in a particular country or on a global basis. Its MoPub is a mobile-focused advertising exchange. Twitter Audience Platform is an advertising offering.</v>
    <v>5500</v>
    <v>New York Stock Exchange</v>
    <v>XNYS</v>
    <v>XNYS</v>
    <v>1355 Market St Ste 900, SAN FRANCISCO, CA, 94103-1337 US</v>
    <v>60.089500000000001</v>
    <v>1308</v>
    <v>Software &amp; IT Services</v>
    <v>Stock</v>
    <v>44355.99985164297</v>
    <v>1309</v>
    <v>57.82</v>
    <v>46937825346</v>
    <v>TWITTER, INC.</v>
    <v>TWITTER, INC.</v>
    <v>59.79</v>
    <v>0</v>
    <v>59.63</v>
    <v>58.81</v>
    <v>58.72</v>
    <v>798126600</v>
    <v>TWTR</v>
    <v>TWITTER, INC. (XNYS:TWTR)</v>
    <v>12772928</v>
    <v>19122392</v>
    <v>2007</v>
  </rv>
  <rv s="7">
    <v>1310</v>
  </rv>
  <rv s="4">
    <v>http://en.wikipedia.org/wiki/General_Electric</v>
    <v>Wikipedia</v>
  </rv>
  <rv s="14">
    <v>1032</v>
    <v>1312</v>
  </rv>
  <rv s="15">
    <v>175</v>
    <v>https://www.bing.com/th?id=AMMS_301c5fbc1963a22028790c2c83b0dc3c&amp;qlt=95</v>
    <v>1313</v>
    <v>0</v>
    <v>https://www.bing.com/images/search?form=xlimg&amp;q=general+electric</v>
    <v>Image of GENERAL ELECTRIC COMPANY</v>
  </rv>
  <rv s="4">
    <v>https://www.bing.com/financeapi/forcetrigger?t=a1tr1h&amp;q=XNYS%3aGE&amp;form=skydnc</v>
    <v>Learn more on Bing</v>
  </rv>
  <rv s="16">
    <v>en-US</v>
    <v>a1tr1h</v>
    <v>268435456</v>
    <v>1</v>
    <v>Powered by Refinitiv</v>
    <v>171</v>
    <v>GENERAL ELECTRIC COMPANY (XNYS:GE)</v>
    <v>172</v>
    <v>212</v>
    <v>Finance</v>
    <v>174</v>
    <v>14.414999999999999</v>
    <v>5.93</v>
    <v>1.081</v>
    <v>-0.01</v>
    <v>-7.1940000000000003E-4</v>
    <v>-7.1889999999999996E-4</v>
    <v>-0.01</v>
    <v>USD</v>
    <v>General Electric Company is a global digital industrial company. The Company's products and services range from aircraft engines, power generation, and oil and gas production equipment to medical imaging, financing and industrial products. Its segments include Power, which includes products and services related to energy production; Renewable Energy, which offers renewable power sources; Oil &amp; Gas, including liquefied natural gas and pipelines; Aviation, which includes commercial and military aircraft engines, and integrated digital components, among others; Healthcare, which provides healthcare technologies in medical imaging, digital solutions, patient monitoring and diagnostics, and drug discovery, among others; Transportation, which is a supplier to the railroad, mining, marine, stationary power and drilling industries; Energy Connections &amp; Lighting, which includes Energy Connections and Lighting businesses, and Capital, which is a financial services division.</v>
    <v>174000</v>
    <v>New York Stock Exchange</v>
    <v>XNYS</v>
    <v>XNYS</v>
    <v>5 NECCO STREET, BOSTON, MA, 02210 US</v>
    <v>13.984999999999999</v>
    <v>1314</v>
    <v>Consumer Goods Conglomerates</v>
    <v>Stock</v>
    <v>44355.999974316408</v>
    <v>1315</v>
    <v>13.72</v>
    <v>122023109900</v>
    <v>GENERAL ELECTRIC COMPANY</v>
    <v>GENERAL ELECTRIC COMPANY</v>
    <v>13.97</v>
    <v>0</v>
    <v>13.91</v>
    <v>13.9</v>
    <v>13.89</v>
    <v>8778641000</v>
    <v>GE</v>
    <v>GENERAL ELECTRIC COMPANY (XNYS:GE)</v>
    <v>44121969</v>
    <v>63082508</v>
    <v>1892</v>
  </rv>
  <rv s="7">
    <v>1316</v>
  </rv>
  <rv s="4">
    <v>http://fr.wikipedia.org/wiki/KeyCorp</v>
    <v>Wikipedia</v>
  </rv>
  <rv s="14">
    <v>1032</v>
    <v>1318</v>
  </rv>
  <rv s="15">
    <v>175</v>
    <v>https://www.bing.com/th?id=AMMS_b5b5d9b71414f59bb4ee07c23f586b30&amp;qlt=95</v>
    <v>1319</v>
    <v>0</v>
    <v>https://www.bing.com/images/search?form=xlimg&amp;q=keybank</v>
    <v>Image of KEYCORP</v>
  </rv>
  <rv s="4">
    <v>https://www.bing.com/financeapi/forcetrigger?t=a1wh27&amp;q=XNYS%3aKEY&amp;form=skydnc</v>
    <v>Learn more on Bing</v>
  </rv>
  <rv s="16">
    <v>en-US</v>
    <v>a1wh27</v>
    <v>268435456</v>
    <v>1</v>
    <v>Powered by Refinitiv</v>
    <v>171</v>
    <v>KEYCORP (XNYS:KEY)</v>
    <v>172</v>
    <v>212</v>
    <v>Finance</v>
    <v>174</v>
    <v>23.645</v>
    <v>10.86</v>
    <v>1.5488999999999999</v>
    <v>0</v>
    <v>1.1434E-2</v>
    <v>0</v>
    <v>0.26</v>
    <v>USD</v>
    <v>KeyCorp is a bank holding company. The Company is a bank-based financial services company. The Company operates through its subsidiary, KeyBank National Association (KeyBank), which is engaged in providing banking services. Through KeyBank and other subsidiaries, it provides a range of retail and commercial banking, commercial leasing, investment management, consumer finance, and investment banking products and services to individual, corporate and institutional clients. Its segments include Key Community Bank and Key Corporate Bank. Key Community Bank serves individuals and small to mid-sized businesses by offering a range of deposit, investment, lending, credit card, and personalized wealth management products and business advisory services. Key Corporate Bank is a full-service corporate and investment bank focused on serving the needs of middle market clients in industry sectors, which include consumer, energy, healthcare, industrial, public sector, real estate and technology.</v>
    <v>17086</v>
    <v>New York Stock Exchange</v>
    <v>XNYS</v>
    <v>XNYS</v>
    <v>127 Public Sq, CLEVELAND, OH, 44114-1306 US</v>
    <v>22.835000000000001</v>
    <v>1320</v>
    <v>Banking Services</v>
    <v>Stock</v>
    <v>44355.958333344533</v>
    <v>1321</v>
    <v>22.28</v>
    <v>22069613430</v>
    <v>KEYCORP</v>
    <v>KEYCORP</v>
    <v>22.55</v>
    <v>18.142099999999999</v>
    <v>22.74</v>
    <v>22.74</v>
    <v>23</v>
    <v>970519500</v>
    <v>KEY</v>
    <v>KEYCORP (XNYS:KEY)</v>
    <v>6772205</v>
    <v>6533737</v>
    <v>1958</v>
  </rv>
  <rv s="7">
    <v>1322</v>
  </rv>
  <rv s="4">
    <v>http://en.wikipedia.org/wiki/Marathon_Oil</v>
    <v>Wikipedia</v>
  </rv>
  <rv s="14">
    <v>1032</v>
    <v>1324</v>
  </rv>
  <rv s="15">
    <v>175</v>
    <v>https://www.bing.com/th?id=AMMS_053e966468c0c2456f7c62d3a165a7fd&amp;qlt=95</v>
    <v>1325</v>
    <v>0</v>
    <v>https://www.bing.com/images/search?form=xlimg&amp;q=marathon+oil</v>
    <v>Image of MARATHON OIL CORPORATION</v>
  </rv>
  <rv s="4">
    <v>https://www.bing.com/financeapi/forcetrigger?t=a1xxvh&amp;q=XNYS%3aMRO&amp;form=skydnc</v>
    <v>Learn more on Bing</v>
  </rv>
  <rv s="16">
    <v>en-US</v>
    <v>a1xxvh</v>
    <v>268435456</v>
    <v>1</v>
    <v>Powered by Refinitiv</v>
    <v>171</v>
    <v>MARATHON OIL CORPORATION (XNYS:MRO)</v>
    <v>172</v>
    <v>212</v>
    <v>Finance</v>
    <v>174</v>
    <v>14.1556</v>
    <v>3.73</v>
    <v>3.2349000000000001</v>
    <v>-0.09</v>
    <v>2.9429999999999999E-3</v>
    <v>-6.5790000000000006E-3</v>
    <v>0.04</v>
    <v>USD</v>
    <v>Marathon Oil Corporation is an exploration and production (E&amp;P) company. The Company operates through two segments: United States E&amp;P and International E&amp;P. The United States E&amp;P segment explores for, produces and markets crude oil and condensate, natural gas liquids (NGLs) and natural gas in the United States. The International E&amp;P segment explores for, produces and markets crude oil and condensate, NGLs and natural gas outside of the United States, and produces and markets products manufactured from natural gas, such as liquefied natural gas (LNG) and methanol, in Equatorial Guinea (E.G.).</v>
    <v>1672</v>
    <v>New York Stock Exchange</v>
    <v>XNYS</v>
    <v>XNYS</v>
    <v>PO Box 3128, HOUSTON, TX, 77253-3128 US</v>
    <v>13.74</v>
    <v>1326</v>
    <v>Oil &amp; Gas</v>
    <v>Stock</v>
    <v>44355.999830520312</v>
    <v>1327</v>
    <v>13.29</v>
    <v>10710999270</v>
    <v>MARATHON OIL CORPORATION</v>
    <v>MARATHON OIL CORPORATION</v>
    <v>13.54</v>
    <v>0</v>
    <v>13.68</v>
    <v>13.59</v>
    <v>13.63</v>
    <v>788153000</v>
    <v>MRO</v>
    <v>MARATHON OIL CORPORATION (XNYS:MRO)</v>
    <v>18842469</v>
    <v>20512769</v>
    <v>2001</v>
  </rv>
  <rv s="7">
    <v>1328</v>
  </rv>
  <rv s="4">
    <v>https://www.bing.com/financeapi/forcetrigger?t=a1mrjc&amp;q=XNYS%3aGOLD&amp;form=skydnc</v>
    <v>Learn more on Bing</v>
  </rv>
  <rv s="28">
    <v>en-US</v>
    <v>a1mrjc</v>
    <v>268435456</v>
    <v>1</v>
    <v>Powered by Refinitiv</v>
    <v>213</v>
    <v>BARRICK GOLD CORPORATION (XNYS:GOLD)</v>
    <v>180</v>
    <v>226</v>
    <v>Finance</v>
    <v>174</v>
    <v>31.042200000000001</v>
    <v>18.533799999999999</v>
    <v>4.4299999999999999E-2</v>
    <v>-0.28999999999999998</v>
    <v>1.7299999999999998E-3</v>
    <v>-1.2388E-2</v>
    <v>0.04</v>
    <v>USD</v>
    <v>Barrick Gold Corporation is a gold mining company principally engaged in the production and sale of gold and copper, as well as related activities, such as exploration and mine development. The Company holds interest in 14 gold mines, including six Tier One Gold Assets. The Company's asset portfolio includes Carlin, Cortez, Turquoise Ridge, Nevada Gold Mines, Pueblo Viejo, Loulo-Gounkoto, Kibali, Veladero, Porgera, North Mara, and Bulyanhulu. The Company gold mines are geographically diversified are located in Argentina, Canada, Cote d’Ivoire, the Democratic Republic of Congo, the Dominican Republic, Mali, Tanzania and the United States. The Company's copper mines are located in Zambia, Chile and Saudi Arabia.</v>
    <v>22500</v>
    <v>New York Stock Exchange</v>
    <v>XNYS</v>
    <v>XNYS</v>
    <v>Canada Trust Tower, 161 Bay St Suite 3700, TORONTO, ON, M5J 2S1 CA</v>
    <v>23.52</v>
    <v>Metals &amp; Mining</v>
    <v>Stock</v>
    <v>44355.999645207812</v>
    <v>1330</v>
    <v>23.12</v>
    <v>50292340000</v>
    <v>BARRICK GOLD CORPORATION</v>
    <v>BARRICK GOLD CORPORATION</v>
    <v>23.35</v>
    <v>16.906199999999998</v>
    <v>23.41</v>
    <v>23.12</v>
    <v>23.16</v>
    <v>1778371000</v>
    <v>GOLD</v>
    <v>BARRICK GOLD CORPORATION (XNYS:GOLD)</v>
    <v>10678607</v>
    <v>17360326</v>
    <v>2018</v>
  </rv>
  <rv s="7">
    <v>1331</v>
  </rv>
  <rv s="4">
    <v>http://en.wikipedia.org/wiki/Snap_Inc.</v>
    <v>Wikipedia</v>
  </rv>
  <rv s="14">
    <v>1032</v>
    <v>1333</v>
  </rv>
  <rv s="15">
    <v>175</v>
    <v>https://www.bing.com/th?id=AMMS_4fb73097a01f1d466c31851722ace0d0&amp;qlt=95</v>
    <v>1334</v>
    <v>0</v>
    <v>https://www.bing.com/images/search?form=xlimg&amp;q=snap+inc.</v>
    <v>Image of SNAP INC.</v>
  </rv>
  <rv s="4">
    <v>https://www.bing.com/financeapi/forcetrigger?t=a237m7&amp;q=XNYS%3aSNAP&amp;form=skydnc</v>
    <v>Learn more on Bing</v>
  </rv>
  <rv s="16">
    <v>en-US</v>
    <v>a237m7</v>
    <v>268435456</v>
    <v>1</v>
    <v>Powered by Refinitiv</v>
    <v>171</v>
    <v>SNAP INC. (XNYS:SNAP)</v>
    <v>172</v>
    <v>212</v>
    <v>Finance</v>
    <v>174</v>
    <v>73.59</v>
    <v>19.614999999999998</v>
    <v>1.2674000000000001</v>
    <v>-1.22</v>
    <v>-4.156E-3</v>
    <v>-1.9879000000000001E-2</v>
    <v>-0.25</v>
    <v>USD</v>
    <v>Snap Inc. is a camera company. The Company’s flagship product, Snapchat, is a camera application that helps people to communicate through short videos and images known as a Snap. The Company provides Camera, Friends Page, Discover, Snap Map, Memories and Spectacles. Snapchat opens directly into the Camera, helping in creating a Snap and sending it to friends. It offers a range of creative tools that enables people to personalize and add content to their Snaps. Its chat services includes creating and watching stories, chatting with groups, making voice and video calls, and communicating through a range of stickers and Bitmojis. Memories enable users to create Snaps and stories from their saved snaps, as well as their camera roll. It also offers Spectacles, its sunglasses that make Snap. The Company’s advertising products include Snap Ads and Sponsored Creative Tools, such as Sponsored Lenses and Sponsored Geofilters.</v>
    <v>3863</v>
    <v>New York Stock Exchange</v>
    <v>XNYS</v>
    <v>XNYS</v>
    <v>3000 31St Street, Loop North, SANTA MONICA, CA, 90405 US</v>
    <v>62.12</v>
    <v>1335</v>
    <v>Software &amp; IT Services</v>
    <v>Stock</v>
    <v>44355.999966191404</v>
    <v>1336</v>
    <v>59.26</v>
    <v>91637983650</v>
    <v>SNAP INC.</v>
    <v>SNAP INC.</v>
    <v>61.7</v>
    <v>0</v>
    <v>61.37</v>
    <v>60.15</v>
    <v>59.9</v>
    <v>1523491000</v>
    <v>SNAP</v>
    <v>SNAP INC. (XNYS:SNAP)</v>
    <v>13150076</v>
    <v>17545088</v>
    <v>2012</v>
  </rv>
  <rv s="7">
    <v>1337</v>
  </rv>
  <rv s="4">
    <v>http://en.wikipedia.org/wiki/Verizon_Communications</v>
    <v>Wikipedia</v>
  </rv>
  <rv s="14">
    <v>1032</v>
    <v>1339</v>
  </rv>
  <rv s="15">
    <v>175</v>
    <v>https://www.bing.com/th?id=AMMS_efb83e572c5e412d09976efd475336f4&amp;qlt=95</v>
    <v>1340</v>
    <v>0</v>
    <v>https://www.bing.com/images/search?form=xlimg&amp;q=verizon+communications</v>
    <v>Image of VERIZON COMMUNICATIONS INC.</v>
  </rv>
  <rv s="4">
    <v>https://www.bing.com/financeapi/forcetrigger?t=a25obh&amp;q=XNYS%3aVZ&amp;form=skydnc</v>
    <v>Learn more on Bing</v>
  </rv>
  <rv s="16">
    <v>en-US</v>
    <v>a25obh</v>
    <v>268435456</v>
    <v>1</v>
    <v>Powered by Refinitiv</v>
    <v>171</v>
    <v>VERIZON COMMUNICATIONS INC. (XNYS:VZ)</v>
    <v>172</v>
    <v>212</v>
    <v>Finance</v>
    <v>174</v>
    <v>61.95</v>
    <v>52.85</v>
    <v>0.45960000000000001</v>
    <v>-0.05</v>
    <v>-5.2490000000000002E-4</v>
    <v>-8.7410000000000005E-4</v>
    <v>-0.03</v>
    <v>USD</v>
    <v>Verizon Communications Inc. is a holding company. The Company, through its subsidiaries, provides communications, information and entertainment products and services to consumers, businesses and governmental agencies. Its reportable segments are Verizon Consumer Group and Verizon Business Group. Its Consumer segment provides wireless and wireline communications services. Its wireless services are provided across wireless networks in the United States under the Verizon Wireless brand. Its wireline services are provided in nine states in the Mid-Atlantic and Northeastern United States, over its 100% fiber-optic network under the Fios brand and via traditional copper-based network. Its Business segment provides wireless and wireline communications services and products, video and data services, corporate networking solutions, security and managed network services, local and long-distance voice services and network access to deliver various Internet of Things (IoT) services and products.</v>
    <v>135500</v>
    <v>New York Stock Exchange</v>
    <v>XNYS</v>
    <v>XNYS</v>
    <v>1095 Avenue of the Americas, NEW YORK, NY, 10036-6797 US</v>
    <v>57.25</v>
    <v>1341</v>
    <v>Telecommunications Services</v>
    <v>Stock</v>
    <v>44355.999303969533</v>
    <v>1342</v>
    <v>56.79</v>
    <v>236604886200</v>
    <v>VERIZON COMMUNICATIONS INC.</v>
    <v>VERIZON COMMUNICATIONS INC.</v>
    <v>57.24</v>
    <v>12.5421</v>
    <v>57.2</v>
    <v>57.15</v>
    <v>57.12</v>
    <v>4140068000</v>
    <v>VZ</v>
    <v>VERIZON COMMUNICATIONS INC. (XNYS:VZ)</v>
    <v>15858377</v>
    <v>17163871</v>
    <v>1983</v>
  </rv>
  <rv s="7">
    <v>1343</v>
  </rv>
  <rv s="4">
    <v>http://es.wikipedia.org/wiki/Vale_S.A.</v>
    <v>Wikipedia</v>
  </rv>
  <rv s="14">
    <v>1032</v>
    <v>1345</v>
  </rv>
  <rv s="15">
    <v>175</v>
    <v>https://www.bing.com/th?id=AMMS_cf3cd923ec86f4edc8a0772ac1ee40c3&amp;qlt=95</v>
    <v>1346</v>
    <v>0</v>
    <v>https://www.bing.com/images/search?form=xlimg&amp;q=vale+mining+company</v>
    <v>Image of Vale SA</v>
  </rv>
  <rv s="4">
    <v>https://www.bing.com/financeapi/forcetrigger?t=a256im&amp;q=XNYS%3aVALE&amp;form=skydnc</v>
    <v>Learn more on Bing</v>
  </rv>
  <rv s="16">
    <v>en-US</v>
    <v>a256im</v>
    <v>268435456</v>
    <v>1</v>
    <v>Powered by Refinitiv</v>
    <v>171</v>
    <v>Vale SA (XNYS:VALE)</v>
    <v>172</v>
    <v>212</v>
    <v>Finance</v>
    <v>174</v>
    <v>23.015000000000001</v>
    <v>10.06</v>
    <v>1.0317000000000001</v>
    <v>-0.4</v>
    <v>2.7420000000000001E-3</v>
    <v>-1.7953E-2</v>
    <v>0.06</v>
    <v>USD</v>
    <v>Vale S.A. is a global producer of iron ore and iron ore pellets, key raw materials for steelmaking, and producer of nickel. The Company also produces copper, metallurgical and thermal coal, potash, phosphates and other fertilizer nutrients, manganese ore, ferroalloys, platinum group metals, gold, silver and cobalt. The Company's segments include Ferrous minerals, which comprises the production and extraction of ferrous minerals, as iron ore fines, iron ore pellets and its logistic services, manganese and ferroalloys and others ferrous products and services; Coal, which comprises the extraction of metallurgical and thermal coal and its logistic services; Base metals, which includes the production and extraction of non-ferrous minerals, and are presented as nickel and its byproducts, and copper (copper concentrated), and Others, which comprises sales and expenses of other products, services and investments in joint ventures and associate in other business.</v>
    <v>74316</v>
    <v>New York Stock Exchange</v>
    <v>XNYS</v>
    <v>XNYS</v>
    <v>Torre Oscar Niemeyer, Praia de Botafogo n 186 sala 701 a sala 1901, Botafogo, RIO DE JANEIRO, RIO DE JANEIRO, 22.250-145 BR</v>
    <v>22.265000000000001</v>
    <v>1347</v>
    <v>Metals &amp; Mining</v>
    <v>Stock</v>
    <v>44355.998864363282</v>
    <v>1348</v>
    <v>21.79</v>
    <v>117104600000</v>
    <v>Vale SA</v>
    <v>Vale SA</v>
    <v>22.2</v>
    <v>11.4343</v>
    <v>22.28</v>
    <v>21.88</v>
    <v>21.94</v>
    <v>5284475000</v>
    <v>VALE</v>
    <v>Vale SA (XNYS:VALE)</v>
    <v>26470961</v>
    <v>34828402</v>
    <v>1943</v>
  </rv>
  <rv s="7">
    <v>1349</v>
  </rv>
  <rv s="4">
    <v>http://es.wikipedia.org/wiki/Tencent_Music</v>
    <v>Wikipedia</v>
  </rv>
  <rv s="14">
    <v>1032</v>
    <v>1351</v>
  </rv>
  <rv s="15">
    <v>175</v>
    <v>https://www.bing.com/th?id=AMMS_04dbc8fa853b0f89cdbdaa31762ad6d7&amp;qlt=95</v>
    <v>1352</v>
    <v>0</v>
    <v>https://www.bing.com/images/search?form=xlimg&amp;q=tencent+music</v>
    <v>Image of TENCENT MUSIC ENTERTAINMENT GROUP</v>
  </rv>
  <rv s="4">
    <v>https://www.bing.com/financeapi/forcetrigger?t=bo9w27&amp;q=XNYS%3aTME&amp;form=skydnc</v>
    <v>Learn more on Bing</v>
  </rv>
  <rv s="31">
    <v>en-US</v>
    <v>bo9w27</v>
    <v>268435456</v>
    <v>1</v>
    <v>Powered by Refinitiv</v>
    <v>221</v>
    <v>TENCENT MUSIC ENTERTAINMENT GROUP (XNYS:TME)</v>
    <v>172</v>
    <v>222</v>
    <v>Finance</v>
    <v>174</v>
    <v>32.248100000000001</v>
    <v>12</v>
    <v>7.0000000000000007E-2</v>
    <v>5.8859999999999997E-3</v>
    <v>4.5989999999999998E-3</v>
    <v>0.09</v>
    <v>USD</v>
    <v>TENCENT MUSIC ENTERTAINMENT GROUP operates online music entertainment platform and music applications in China. The Company's platform comprises online music, online karaoke and music-centric live streaming services, supported by content offerings, technology and data. The Company's main platform includes QQ Music, Kugou Music, Kuwo Music, WeSing, Kugou Live, Kuwo Live and others.</v>
    <v>4769</v>
    <v>New York Stock Exchange</v>
    <v>XNYS</v>
    <v>XNYS</v>
    <v>17F, Malata Building, Kejizhongyi Road, Midwest District of Hi-Tech Park, Nanshan District, SHENZHEN, GUANGDONG, 518057 CN</v>
    <v>15.715</v>
    <v>1353</v>
    <v>Software &amp; IT Services</v>
    <v>Stock</v>
    <v>44355.998431481246</v>
    <v>1354</v>
    <v>15.11</v>
    <v>25879425880</v>
    <v>TENCENT MUSIC ENTERTAINMENT GROUP</v>
    <v>TENCENT MUSIC ENTERTAINMENT GROUP</v>
    <v>15.3</v>
    <v>40.0852</v>
    <v>15.22</v>
    <v>15.29</v>
    <v>15.38</v>
    <v>1692572000</v>
    <v>TME</v>
    <v>TENCENT MUSIC ENTERTAINMENT GROUP (XNYS:TME)</v>
    <v>8489074</v>
    <v>18208494</v>
    <v>2012</v>
  </rv>
  <rv s="7">
    <v>1355</v>
  </rv>
  <rv s="4">
    <v>https://www.bing.com/financeapi/forcetrigger?t=alvxu2&amp;q=XPHS%3aMPI&amp;form=skydnc</v>
    <v>Learn more on Bing</v>
  </rv>
  <rv s="18">
    <v>en-US</v>
    <v>alvxu2</v>
    <v>268435456</v>
    <v>1</v>
    <v>Powered by Refinitiv</v>
    <v>179</v>
    <v>METRO PACIFIC INVESTMENTS CORPORATION (XPHS:MPI)</v>
    <v>180</v>
    <v>227</v>
    <v>Finance</v>
    <v>228</v>
    <v>4.548</v>
    <v>2.8896999999999999</v>
    <v>1.1302000000000001</v>
    <v>0.04</v>
    <v>9.8279999999999999E-3</v>
    <v>PHP</v>
    <v>Metro Pacific Investments Corporation is an investment and infrastructure holding company. The Company's segments include Water utilities, which is engaged in provision of water and sewerage services, and bulk water supply; Toll operations, which is engaged in operations and maintenance of toll facilities; Power distribution, which is engaged in the operations of Manila Electric Company (MERALCO) in relation to the distribution and supply of electricity; Healthcare, which is engaged in operations and management of hospitals, nursing and medical schools, and other enterprises that have similar undertakings by Metro Pacific Hospital Holdings, Inc. (MPHHI); Rail, which is engaged in operations and maintenance of the Light Rail Transit (LRT) and construction of the LRT1 south extension and systems-related services, such as the ticketing services, and Other, which includes holding companies and operations of subsidiaries involved in real estate and provision of services.</v>
    <v>54</v>
    <v>Philippine Stock Exchange</v>
    <v>XPHS</v>
    <v>XPHS</v>
    <v>10th Floor, MGO Buiding; De La Rosa corner Legazpi Streets, Legazpi Village, MAKATI, PHILIPPINES-NA PH</v>
    <v>4.13</v>
    <v>Multiline Utilities</v>
    <v>Stock</v>
    <v>44356.134386574071</v>
    <v>1357</v>
    <v>4.0599999999999996</v>
    <v>124822000000</v>
    <v>METRO PACIFIC INVESTMENTS CORPORATION</v>
    <v>METRO PACIFIC INVESTMENTS CORPORATION</v>
    <v>4.07</v>
    <v>12.68</v>
    <v>4.07</v>
    <v>4.1100000000000003</v>
    <v>30668800000</v>
    <v>MPI</v>
    <v>METRO PACIFIC INVESTMENTS CORPORATION (XPHS:MPI)</v>
    <v>9503000</v>
    <v>2006</v>
  </rv>
  <rv s="7">
    <v>1358</v>
  </rv>
  <rv s="4">
    <v>https://www.bing.com/financeapi/forcetrigger?t=alvllh&amp;q=XPHS%3aAPL&amp;form=skydnc</v>
    <v>Learn more on Bing</v>
  </rv>
  <rv s="21">
    <v>en-US</v>
    <v>alvllh</v>
    <v>268435456</v>
    <v>1</v>
    <v>Powered by Refinitiv</v>
    <v>189</v>
    <v>Apollo Global Capital, Inc. (XPHS:APL)</v>
    <v>180</v>
    <v>229</v>
    <v>Finance</v>
    <v>228</v>
    <v>0.47499999999999998</v>
    <v>4.5999999999999999E-2</v>
    <v>1.1657</v>
    <v>-1E-3</v>
    <v>-5.4640000000000001E-3</v>
    <v>PHP</v>
    <v>Apollo Global Capital, Inc. is a Philippines-based holding company. Through its subsidiary, JDVC Resources Corporation (JDVC), the Company is engaged in the business of mining. JDVC is focused on exploring, prospecting and operating mines and quarries of all kind of ores and minerals, metallic and non-metallic, such as nickel, iron, gold, copper, silver, lead, manganese, chromite, molybdenite pyrite, sulfur, silica, kaolin clay, zeolite, perlite, diatomaceous earth, diorite, basalt, gabbro, coal, hydrocarbons, oil and natural gas. JDVC focuses on magnetite mining with an area of 19,025,939 square meter located 14 kilometers offshore from the municipality of Gonzaga, province of Cagayan.</v>
    <v>21</v>
    <v>Philippine Stock Exchange</v>
    <v>XPHS</v>
    <v>XPHS</v>
    <v>Unit 504, Galleria Corporate Center, EDSA corner Ortigas Ave., Brgy. Ugong Norte, QUEZON, PHILIPPINES-NA PH</v>
    <v>0.184</v>
    <v>Metals &amp; Mining</v>
    <v>Stock</v>
    <v>44356.134562430467</v>
    <v>1360</v>
    <v>0.18</v>
    <v>51581890000</v>
    <v>Apollo Global Capital, Inc.</v>
    <v>Apollo Global Capital, Inc.</v>
    <v>0.184</v>
    <v>0.183</v>
    <v>0.182</v>
    <v>280336300000</v>
    <v>APL</v>
    <v>Apollo Global Capital, Inc. (XPHS:APL)</v>
    <v>37220000</v>
    <v>1998</v>
  </rv>
  <rv s="7">
    <v>1361</v>
  </rv>
  <rv s="4">
    <v>https://www.bing.com/financeapi/forcetrigger?t=alvl77&amp;q=XPHS%3aALI&amp;form=skydnc</v>
    <v>Learn more on Bing</v>
  </rv>
  <rv s="18">
    <v>en-US</v>
    <v>alvl77</v>
    <v>268435456</v>
    <v>1</v>
    <v>Powered by Refinitiv</v>
    <v>179</v>
    <v>AYALA LAND INC. (XPHS:ALI)</v>
    <v>180</v>
    <v>227</v>
    <v>Finance</v>
    <v>228</v>
    <v>42.1</v>
    <v>26.5</v>
    <v>1.1586000000000001</v>
    <v>1.1499999999999999</v>
    <v>3.1122999999999998E-2</v>
    <v>PHP</v>
    <v>Ayala Land, Inc. is a Philippines-based real estate conglomerate. The Company is engaged in the planning and development of large scale, integrated estates having a mix of use for the sale of residential lots and buildings, office buildings and commercial and industrial lots, leasing of commercial and office spaces and the development, operation and management of hotels and resorts. The Company's segments include Shopping centers, Corporate businesses, Residential developments, Strategic landbank management and Visayas-Mindanao, Construction, Hotels and Resorts, Property management and Others. The Company's Property Development includes the sale of residential lots and units, office spaces, as well as commercial and industrial lots. Its Commercial Leasing includes the Company's shopping centers and Office Leasing, as well as hotels and resorts operations. It offers construction and property management services. It caters to local and foreign individual and institutional clients.</v>
    <v>324</v>
    <v>Philippine Stock Exchange</v>
    <v>XPHS</v>
    <v>XPHS</v>
    <v>31/F, Tower One and Exchange Plaza, Ayala Triangle, Ayala Avenue, MAKATI, PHILIPPINES-NA PH</v>
    <v>38.15</v>
    <v>Real Estate Operations</v>
    <v>Stock</v>
    <v>44356.134592245311</v>
    <v>1363</v>
    <v>36.9</v>
    <v>534037800000</v>
    <v>AYALA LAND INC.</v>
    <v>AYALA LAND INC.</v>
    <v>36.950000000000003</v>
    <v>76.63</v>
    <v>36.950000000000003</v>
    <v>38.1</v>
    <v>14711790000</v>
    <v>ALI</v>
    <v>AYALA LAND INC. (XPHS:ALI)</v>
    <v>8153500</v>
    <v>1988</v>
  </rv>
  <rv s="7">
    <v>1364</v>
  </rv>
  <rv s="4">
    <v>https://www.bing.com/financeapi/forcetrigger?t=alvnsm&amp;q=XPHS%3aCDC&amp;form=skydnc</v>
    <v>Learn more on Bing</v>
  </rv>
  <rv s="18">
    <v>en-US</v>
    <v>alvnsm</v>
    <v>268435456</v>
    <v>1</v>
    <v>Powered by Refinitiv</v>
    <v>179</v>
    <v>CITYLAND DEVELOPMENT CORPORATION (XPHS:CDC)</v>
    <v>180</v>
    <v>227</v>
    <v>Finance</v>
    <v>228</v>
    <v>1.35</v>
    <v>0.67620000000000002</v>
    <v>-0.12139999999999999</v>
    <v>-0.02</v>
    <v>-0.02</v>
    <v>PHP</v>
    <v>Cityland Development Corporation (CDC) is engaged in the real estate development. The Company and its subsidiaries' primary purpose is to acquire and develop suitable land sites for residential, office, commercial, institutional and industrial uses. Its projects include medium to high-rise office, commercial and residential condominiums located in cities of Makati, Mandaluyong, Manila and Pasig, and residential subdivisions and farmlots in Bulacan and Cavite. Its Citynet 1 is approximately five storied business technology hub located along 183 EDSA, Brgy. Wack-Wack, Mandaluyong City. Grand Central Residences I is approximately 40-storied office, commercial and residential condominium located at EDSA corner Sultan St., Mandaluyong City. Its projects also include Makati Executive Tower IV, Mandaluyong Executive Mansion III, Makati Executive Tower III, Manila Executive Regency and Corinthian Executive Regency. The Company's ongoing projects include Pines Peak Tower I and Citynet Central.</v>
    <v>218</v>
    <v>Philippine Stock Exchange</v>
    <v>XPHS</v>
    <v>XPHS</v>
    <v>2F Cityland 10 Tower 1, 156 H.V. Dela Costa St. Makati City, MAKATI, PHILIPPINES-NA PH</v>
    <v>1.04</v>
    <v>Real Estate Operations</v>
    <v>Stock</v>
    <v>44356.133539003909</v>
    <v>1366</v>
    <v>0.97</v>
    <v>4300251000</v>
    <v>CITYLAND DEVELOPMENT CORPORATION</v>
    <v>CITYLAND DEVELOPMENT CORPORATION</v>
    <v>1</v>
    <v>9.6999999999999993</v>
    <v>1</v>
    <v>0.98</v>
    <v>4623926000</v>
    <v>CDC</v>
    <v>CITYLAND DEVELOPMENT CORPORATION (XPHS:CDC)</v>
    <v>804000</v>
    <v>1978</v>
  </rv>
  <rv s="7">
    <v>1367</v>
  </rv>
  <rv s="4">
    <v>https://www.bing.com/financeapi/forcetrigger?t=addtpr&amp;q=XSHE%3a200488&amp;form=skydnc</v>
    <v>Learn more on Bing</v>
  </rv>
  <rv s="18">
    <v>en-US</v>
    <v>addtpr</v>
    <v>268435456</v>
    <v>1</v>
    <v>Powered by Refinitiv</v>
    <v>179</v>
    <v>Shandong Chenming Paper Holdings Limited (XSHE:200488)</v>
    <v>180</v>
    <v>230</v>
    <v>Finance</v>
    <v>231</v>
    <v>7.28</v>
    <v>2.57</v>
    <v>0.75900000000000001</v>
    <v>-0.1</v>
    <v>-1.8553E-2</v>
    <v>HKD</v>
    <v>SHANDONG CHENMING PAPER HOLDINGS LIMITED is a China-based company principally engaged in paper making and finance lease businesses. The Company's paper products mainly consists of duplex press paper, copperplate paper, white paper boards, electrostatic paper, anti-sticking base paper, newsprint, tissue paper, light weight coated paper, writing paper and other machine-made paper. The Company is also involved in the provision of electricity and steam, construction materials and chemicals for paper making, as well as the operation of hotels. The Company distributes its products in domestic market and to overseas markets.</v>
    <v>12752</v>
    <v>Shenzhen Stock Exchange</v>
    <v>XSHE</v>
    <v>XSHE</v>
    <v>No. 2199, Nongsheng East Street, Shouguang City, WEIFANG, SHANDONG, 262705 CN</v>
    <v>5.38</v>
    <v>Paper &amp; Forest Products</v>
    <v>Stock</v>
    <v>44356.134409722225</v>
    <v>1369</v>
    <v>5.28</v>
    <v>23225480000</v>
    <v>Shandong Chenming Paper Holdings Limited</v>
    <v>Shandong Chenming Paper Holdings Limited</v>
    <v>5.36</v>
    <v>0</v>
    <v>5.39</v>
    <v>5.29</v>
    <v>2984208000</v>
    <v>200488</v>
    <v>Shandong Chenming Paper Holdings Limited (XSHE:200488)</v>
    <v>1596867</v>
    <v>1993</v>
  </rv>
  <rv s="7">
    <v>1370</v>
  </rv>
  <rv s="4">
    <v>https://www.bing.com/financeapi/forcetrigger?t=addvcw&amp;q=XSHE%3a200986&amp;form=skydnc</v>
    <v>Learn more on Bing</v>
  </rv>
  <rv s="18">
    <v>en-US</v>
    <v>addvcw</v>
    <v>268435456</v>
    <v>1</v>
    <v>Powered by Refinitiv</v>
    <v>179</v>
    <v>Foshan Huaxin Packaging Co., Ltd (XSHE:200986)</v>
    <v>180</v>
    <v>186</v>
    <v>Finance</v>
    <v>231</v>
    <v>6.25</v>
    <v>2.48</v>
    <v>0.58050000000000002</v>
    <v>0.01</v>
    <v>1.802E-3</v>
    <v>HKD</v>
    <v>Foshan Huaxin Packaging Co., Ltd. is a China-based company principally engaged in the manufacturer and sales of paper products. The Company's products consist of coating white cardboards, printed matters and liquid packaging papers, as well as latex and calcium carbonates, among others. The Company distributes the products in domestic market and to overseas markets.</v>
    <v>1639</v>
    <v>Shenzhen Stock Exchange</v>
    <v>XSHE</v>
    <v>XSHE</v>
    <v>2F, 7 of No. 3, Keyang Road, Luoge Park, Chancheng Economic Development Zone, Nanzhuang Town, Chancheng District, FOSHAN, GUANGDONG, 528000 CN</v>
    <v>5.6</v>
    <v>Containers &amp; Packaging</v>
    <v>Stock</v>
    <v>44356.134583333333</v>
    <v>1372</v>
    <v>5.51</v>
    <v>2805109000</v>
    <v>Foshan Huaxin Packaging Co., Ltd</v>
    <v>Foshan Huaxin Packaging Co., Ltd</v>
    <v>5.59</v>
    <v>14.744</v>
    <v>5.55</v>
    <v>5.56</v>
    <v>505425000</v>
    <v>200986</v>
    <v>Foshan Huaxin Packaging Co., Ltd (XSHE:200986)</v>
    <v>1119370</v>
    <v>1999</v>
  </rv>
  <rv s="7">
    <v>1373</v>
  </rv>
  <rv s="4">
    <v>https://www.bing.com/financeapi/forcetrigger?t=addurw&amp;q=XSHE%3a200625&amp;form=skydnc</v>
    <v>Learn more on Bing</v>
  </rv>
  <rv s="18">
    <v>en-US</v>
    <v>addurw</v>
    <v>268435456</v>
    <v>1</v>
    <v>Powered by Refinitiv</v>
    <v>179</v>
    <v>Chongqing Changan Automobile Company Limited (XSHE:200625)</v>
    <v>180</v>
    <v>230</v>
    <v>Finance</v>
    <v>231</v>
    <v>9.5</v>
    <v>3.83</v>
    <v>0.73409999999999997</v>
    <v>0.01</v>
    <v>1.374E-3</v>
    <v>HKD</v>
    <v>Chongqing Changan Automobile Co., Ltd. is a China-based Company principally engaged in the research and development, manufacture and sales of automobiles. The Company's own-brand models include Alsvin series, CS series, EADO series, RAETON series, Honor and Oushang series automobiles and passenger cars. In addition, The Company is also engaged in the research and development, production and sales of automobile engines. The Company mainly distributes its products in the domestic market.</v>
    <v>40298</v>
    <v>Shenzhen Stock Exchange</v>
    <v>XSHE</v>
    <v>XSHE</v>
    <v>No.260 Jianxin East Road, Jiangbei District, CHONGQING, CHONGQING, 400023 CN</v>
    <v>7.34</v>
    <v>Automobiles &amp; Auto Parts</v>
    <v>Stock</v>
    <v>44356.134409722225</v>
    <v>1375</v>
    <v>7.22</v>
    <v>108885800000</v>
    <v>Chongqing Changan Automobile Company Limited</v>
    <v>Chongqing Changan Automobile Company Limited</v>
    <v>7.3</v>
    <v>0</v>
    <v>7.28</v>
    <v>7.29</v>
    <v>5439592000</v>
    <v>200625</v>
    <v>Chongqing Changan Automobile Company Limited (XSHE:200625)</v>
    <v>664000</v>
    <v>1996</v>
  </rv>
  <rv s="7">
    <v>1376</v>
  </rv>
  <rv s="4">
    <v>https://www.bing.com/financeapi/forcetrigger?t=addrww&amp;q=XSHE%3a200017&amp;form=skydnc</v>
    <v>Learn more on Bing</v>
  </rv>
  <rv s="18">
    <v>en-US</v>
    <v>addrww</v>
    <v>268435456</v>
    <v>1</v>
    <v>Powered by Refinitiv</v>
    <v>179</v>
    <v>Shenzhen China Bicycle Company (Holdings) Limited (XSHE:200017)</v>
    <v>180</v>
    <v>230</v>
    <v>Finance</v>
    <v>231</v>
    <v>1.06</v>
    <v>0.74</v>
    <v>0.75049999999999994</v>
    <v>-0.01</v>
    <v>-9.8040000000000002E-3</v>
    <v>HKD</v>
    <v>SHENZHEN CHINA BICYCLE COMPANY (HOLDINGS) LIMITED is principally engaged in the manufacture and sale of bicycles and related components. The Company is also involved in the leasing and management of properties. The Company operates its businesses mainly in the domestic markets, including Shandong, Henan, Jiangsu, Hebei and Shanghai, China. Through its subsidiary, the Company is engaged in the provision of property management service.</v>
    <v>65</v>
    <v>Shenzhen Stock Exchange</v>
    <v>XSHE</v>
    <v>XSHE</v>
    <v>1201, Wantong Building, No.3002 Sungang East Road, SHENZHEN, GUANGDONG, 518023 CN</v>
    <v>1.05</v>
    <v>Leisure Products</v>
    <v>Stock</v>
    <v>44356.13045138889</v>
    <v>1378</v>
    <v>1.01</v>
    <v>1270282000</v>
    <v>Shenzhen China Bicycle Company (Holdings) Limited</v>
    <v>Shenzhen China Bicycle Company (Holdings) Limited</v>
    <v>1.04</v>
    <v>385.49599999999998</v>
    <v>1.02</v>
    <v>1.01</v>
    <v>551348000</v>
    <v>200017</v>
    <v>Shenzhen China Bicycle Company (Holdings) Limited (XSHE:200017)</v>
    <v>228500</v>
    <v>1984</v>
  </rv>
  <rv s="7">
    <v>1379</v>
  </rv>
  <rv s="4">
    <v>https://www.bing.com/financeapi/forcetrigger?t=adduxm&amp;q=XSHE%3a200725&amp;form=skydnc</v>
    <v>Learn more on Bing</v>
  </rv>
  <rv s="21">
    <v>en-US</v>
    <v>adduxm</v>
    <v>268435456</v>
    <v>1</v>
    <v>Powered by Refinitiv</v>
    <v>189</v>
    <v>BOE Technology Group Co., Ltd. (XSHE:200725)</v>
    <v>180</v>
    <v>232</v>
    <v>Finance</v>
    <v>231</v>
    <v>4.4000000000000004</v>
    <v>2.77</v>
    <v>1.5178</v>
    <v>0.06</v>
    <v>1.5665999999999999E-2</v>
    <v>HKD</v>
    <v>BOE TECHNOLOGY GROUP CO., LTD. is a China-based company principally engaged in the research, development, manufacture and sale of display products and components. The Company operates its business through three segments. Display Device segment is mainly involved in the research, development, production and distribution of thin-film transistor-liquid crystal displays (TFT-LCDs), Active Matrics Organic Light Emitting Diode (AMOLED), display screens and thin film transistors, among others. Intelligent System segment mainly provides Internet of Things solutions for mobile health products, optoelectronics industry, the vehicle and display network, intelligent finance and intelligent display, among others. Healthcare Service segment mainly provides medical care and specialized park solutions.</v>
    <v>76459</v>
    <v>Shenzhen Stock Exchange</v>
    <v>XSHE</v>
    <v>XSHE</v>
    <v>No. 12 West Ring Mid-Road, Beijing Economic-Technological Development Zone, BEIJING, BEIJING, 100176 CN</v>
    <v>3.9</v>
    <v>Electronic Equipment &amp; Parts</v>
    <v>Stock</v>
    <v>44356.134513888886</v>
    <v>1381</v>
    <v>3.83</v>
    <v>209854400000</v>
    <v>BOE Technology Group Co., Ltd.</v>
    <v>BOE Technology Group Co., Ltd.</v>
    <v>3.83</v>
    <v>3.83</v>
    <v>3.89</v>
    <v>34798400000</v>
    <v>200725</v>
    <v>BOE Technology Group Co., Ltd. (XSHE:200725)</v>
    <v>1490189</v>
    <v>1993</v>
  </rv>
  <rv s="7">
    <v>1382</v>
  </rv>
</rvData>
</file>

<file path=xl/richData/rdrichvaluestructure.xml><?xml version="1.0" encoding="utf-8"?>
<rvStructures xmlns="http://schemas.microsoft.com/office/spreadsheetml/2017/richdata" count="34">
  <s t="_linkedentity2">
    <k n="%EntityServiceId" t="i"/>
    <k n="_DisplayString" t="s"/>
    <k n="%EntityId" t="s"/>
    <k n="%EntityCulture" t="s"/>
    <k n="_Icon" t="s"/>
  </s>
  <s t="_formattednumber">
    <k n="_Format" t="spb"/>
  </s>
  <s t="_webimage">
    <k n="WebImageIdentifier" t="i"/>
    <k n="_Provider" t="spb"/>
    <k n="Attribution" t="spb"/>
    <k n="ComputedImage" t="b"/>
    <k n="Text" t="s"/>
  </s>
  <s t="_array">
    <k n="array" t="a"/>
  </s>
  <s t="_hyperlink">
    <k n="Address" t="s"/>
    <k n="Text" t="s"/>
  </s>
  <s t="_linkedentity2core">
    <k n="_CRID" t="e"/>
    <k n="%EntityCulture" t="s"/>
    <k n="%EntityId" t="s"/>
    <k n="%EntityServiceId" t="i"/>
    <k n="%IsRefreshable" t="b"/>
    <k n="_Attribution" t="spb"/>
    <k n="_Display" t="spb"/>
    <k n="_DisplayString" t="s"/>
    <k n="_Flags" t="spb"/>
    <k n="_Format" t="spb"/>
    <k n="_Icon" t="s"/>
    <k n="_Provider" t="spb"/>
    <k n="_SubLabel" t="spb"/>
    <k n="Abbreviation" t="s"/>
    <k n="Agricultural land (%)" t="r"/>
    <k n="Area" t="r"/>
    <k n="Armed forces size" t="r"/>
    <k n="Birth rate" t="r"/>
    <k n="Calling code" t="r"/>
    <k n="Capital/Major City" t="r"/>
    <k n="Carbon dioxide emissions" t="r"/>
    <k n="CPI" t="r"/>
    <k n="CPI Change (%)" t="r"/>
    <k n="Currency code" t="s"/>
    <k n="Description" t="s"/>
    <k n="Electric power consumption" t="r"/>
    <k n="Fertility rate" t="r"/>
    <k n="Forested area (%)" t="r"/>
    <k n="Fossil fuel energy consumption" t="r"/>
    <k n="Gasoline price" t="r"/>
    <k n="GDP" t="r"/>
    <k n="Gross primary education enrollment (%)" t="r"/>
    <k n="Gross tertiary education enrollment (%)" t="r"/>
    <k n="Image" t="r"/>
    <k n="Infant mortality" t="r"/>
    <k n="Largest city" t="r"/>
    <k n="Leader(s)" t="r"/>
    <k n="LearnMoreOnLink" t="r"/>
    <k n="Life expectancy" t="r"/>
    <k n="Market cap of listed companies" t="r"/>
    <k n="Maternal mortality ratio" t="r"/>
    <k n="Minimum wage" t="r"/>
    <k n="Name" t="s"/>
    <k n="National anthem" t="s"/>
    <k n="Official language" t="r"/>
    <k n="Official name" t="s"/>
    <k n="Out of pocket health expenditure (%)" t="r"/>
    <k n="Physicians per thousand" t="r"/>
    <k n="Population" t="r"/>
    <k n="Population: Income share fourth 20%" t="r"/>
    <k n="Population: Income share highest 10%" t="r"/>
    <k n="Population: Income share highest 20%" t="r"/>
    <k n="Population: Income share lowest 10%" t="r"/>
    <k n="Population: Income share lowest 20%" t="r"/>
    <k n="Population: Income share second 20%" t="r"/>
    <k n="Population: Income share third 20%" t="r"/>
    <k n="Population: Labor force participation (%)" t="r"/>
    <k n="Subdivisions" t="r"/>
    <k n="Tax revenue (%)" t="r"/>
    <k n="Time zone(s)" t="r"/>
    <k n="Total tax rate" t="r"/>
    <k n="Unemployment rate" t="r"/>
    <k n="UniqueName" t="s"/>
    <k n="Urban population" t="r"/>
    <k n="VDPID/VSID" t="s"/>
  </s>
  <s t="_linkedentitycore">
    <k n="%EntityCulture" t="s"/>
    <k n="%EntityId" t="s"/>
    <k n="%EntityServiceId"/>
    <k n="%IsRefreshable" t="b"/>
    <k n="%ProviderInfo" t="s"/>
    <k n="_Display" t="spb"/>
    <k n="_DisplayString" t="s"/>
    <k n="_Flags" t="spb"/>
    <k n="_Format" t="spb"/>
    <k n="_Icon" t="s"/>
    <k n="_SubLabel" t="spb"/>
    <k n="52 week high"/>
    <k n="52 week low"/>
    <k n="Change"/>
    <k n="Change (%)"/>
    <k n="Currency" t="s"/>
    <k n="From currency" t="s"/>
    <k n="High"/>
    <k n="Instrument type" t="s"/>
    <k n="Last trade time"/>
    <k n="Low"/>
    <k n="Name" t="s"/>
    <k n="Open"/>
    <k n="Previous close"/>
    <k n="Price"/>
    <k n="Ticker symbol" t="s"/>
    <k n="UniqueName" t="s"/>
  </s>
  <s t="_linkedentity">
    <k n="%cvi" t="r"/>
  </s>
  <s t="_linkedentity2core">
    <k n="_CRID" t="e"/>
    <k n="%EntityCulture" t="s"/>
    <k n="%EntityId" t="s"/>
    <k n="%EntityServiceId" t="i"/>
    <k n="%IsRefreshable" t="b"/>
    <k n="_Attribution" t="spb"/>
    <k n="_Display" t="spb"/>
    <k n="_DisplayString" t="s"/>
    <k n="_Flags" t="spb"/>
    <k n="_Format" t="spb"/>
    <k n="_Icon" t="s"/>
    <k n="_Provider" t="spb"/>
    <k n="_SubLabel" t="spb"/>
    <k n="Abbreviation" t="s"/>
    <k n="Agricultural land (%)" t="r"/>
    <k n="Area" t="r"/>
    <k n="Birth rate" t="r"/>
    <k n="Calling code" t="r"/>
    <k n="Capital/Major City" t="r"/>
    <k n="Carbon dioxide emissions" t="r"/>
    <k n="CPI" t="r"/>
    <k n="CPI Change (%)" t="r"/>
    <k n="Description" t="s"/>
    <k n="Electric power consumption" t="r"/>
    <k n="Fertility rate" t="r"/>
    <k n="Fossil fuel energy consumption" t="r"/>
    <k n="Gasoline price" t="r"/>
    <k n="GDP" t="r"/>
    <k n="Gross primary education enrollment (%)" t="r"/>
    <k n="Gross tertiary education enrollment (%)" t="r"/>
    <k n="Image" t="r"/>
    <k n="Largest city" t="r"/>
    <k n="Leader(s)" t="r"/>
    <k n="LearnMoreOnLink" t="r"/>
    <k n="Life expectancy" t="r"/>
    <k n="Market cap of listed companies" t="r"/>
    <k n="Minimum wage" t="r"/>
    <k n="Name" t="s"/>
    <k n="National anthem" t="s"/>
    <k n="Official language" t="r"/>
    <k n="Official name" t="s"/>
    <k n="Physicians per thousand" t="r"/>
    <k n="Population" t="r"/>
    <k n="Population: Labor force participation (%)" t="r"/>
    <k n="Time zone(s)" t="r"/>
    <k n="Total tax rate" t="r"/>
    <k n="Unemployment rate" t="r"/>
    <k n="UniqueName" t="s"/>
    <k n="Urban population" t="r"/>
    <k n="VDPID/VSID" t="s"/>
  </s>
  <s t="_linkedentitycore">
    <k n="%EntityCulture" t="s"/>
    <k n="%EntityId" t="s"/>
    <k n="%EntityServiceId"/>
    <k n="%IsRefreshable" t="b"/>
    <k n="%ProviderInfo" t="s"/>
    <k n="_Display" t="spb"/>
    <k n="_DisplayString" t="s"/>
    <k n="_Flags" t="spb"/>
    <k n="_Format" t="spb"/>
    <k n="_Icon" t="s"/>
    <k n="_SubLabel" t="spb"/>
    <k n="52 week high"/>
    <k n="52 week low"/>
    <k n="Change"/>
    <k n="Currency" t="s"/>
    <k n="From currency" t="s"/>
    <k n="High"/>
    <k n="Instrument type" t="s"/>
    <k n="Last trade time"/>
    <k n="Low"/>
    <k n="Name" t="s"/>
    <k n="Open"/>
    <k n="Previous close"/>
    <k n="Price"/>
    <k n="Ticker symbol" t="s"/>
    <k n="UniqueName" t="s"/>
  </s>
  <s t="_linkedentity2core">
    <k n="_CRID" t="e"/>
    <k n="%EntityCulture" t="s"/>
    <k n="%EntityId" t="s"/>
    <k n="%EntityServiceId" t="i"/>
    <k n="%IsRefreshable" t="b"/>
    <k n="_Attribution" t="spb"/>
    <k n="_Display" t="spb"/>
    <k n="_DisplayString" t="s"/>
    <k n="_Flags" t="spb"/>
    <k n="_Format" t="spb"/>
    <k n="_Icon" t="s"/>
    <k n="_Provider" t="spb"/>
    <k n="_SubLabel" t="spb"/>
    <k n="Abbreviation" t="s"/>
    <k n="Agricultural land (%)" t="r"/>
    <k n="Area" t="r"/>
    <k n="Armed forces size" t="r"/>
    <k n="Birth rate" t="r"/>
    <k n="Calling code" t="r"/>
    <k n="Capital/Major City" t="s"/>
    <k n="Carbon dioxide emissions" t="r"/>
    <k n="CPI" t="r"/>
    <k n="CPI Change (%)" t="r"/>
    <k n="Currency code" t="s"/>
    <k n="Description" t="s"/>
    <k n="Electric power consumption" t="r"/>
    <k n="Fertility rate" t="r"/>
    <k n="Forested area (%)" t="r"/>
    <k n="Fossil fuel energy consumption" t="r"/>
    <k n="Gasoline price" t="r"/>
    <k n="GDP" t="r"/>
    <k n="Gross primary education enrollment (%)" t="r"/>
    <k n="Gross tertiary education enrollment (%)" t="r"/>
    <k n="Image" t="r"/>
    <k n="Infant mortality" t="r"/>
    <k n="Leader(s)" t="r"/>
    <k n="LearnMoreOnLink" t="r"/>
    <k n="Life expectancy" t="r"/>
    <k n="Market cap of listed companies" t="r"/>
    <k n="Maternal mortality ratio" t="r"/>
    <k n="Name" t="s"/>
    <k n="National anthem" t="s"/>
    <k n="Official language" t="r"/>
    <k n="Official name" t="s"/>
    <k n="Out of pocket health expenditure (%)" t="r"/>
    <k n="Physicians per thousand" t="r"/>
    <k n="Population" t="r"/>
    <k n="Population: Labor force participation (%)" t="r"/>
    <k n="Subdivisions" t="r"/>
    <k n="Tax revenue (%)" t="r"/>
    <k n="Time zone(s)" t="r"/>
    <k n="Total tax rate" t="r"/>
    <k n="Unemployment rate" t="r"/>
    <k n="UniqueName" t="s"/>
    <k n="Urban population" t="r"/>
    <k n="VDPID/VSID" t="s"/>
  </s>
  <s t="_linkedentity2core">
    <k n="_CRID" t="e"/>
    <k n="%EntityCulture" t="s"/>
    <k n="%EntityId" t="s"/>
    <k n="%EntityServiceId" t="i"/>
    <k n="%IsRefreshable" t="b"/>
    <k n="_Attribution" t="spb"/>
    <k n="_Display" t="spb"/>
    <k n="_DisplayString" t="s"/>
    <k n="_Flags" t="spb"/>
    <k n="_Format" t="spb"/>
    <k n="_Icon" t="s"/>
    <k n="_Provider" t="spb"/>
    <k n="_SubLabel" t="spb"/>
    <k n="Abbreviation" t="s"/>
    <k n="Area" t="r"/>
    <k n="Country/region" t="r"/>
    <k n="Description" t="s"/>
    <k n="Image" t="r"/>
    <k n="Leader(s)" t="r"/>
    <k n="LearnMoreOnLink" t="r"/>
    <k n="Name" t="s"/>
    <k n="Population" t="r"/>
    <k n="Time zone(s)" t="r"/>
    <k n="UniqueName" t="s"/>
    <k n="VDPID/VSID" t="s"/>
  </s>
  <s t="_linkedentity2core">
    <k n="_CRID" t="e"/>
    <k n="%EntityCulture" t="s"/>
    <k n="%EntityId" t="s"/>
    <k n="%EntityServiceId" t="i"/>
    <k n="%IsRefreshable" t="b"/>
    <k n="_Attribution" t="spb"/>
    <k n="_Display" t="spb"/>
    <k n="_DisplayString" t="s"/>
    <k n="_Flags" t="spb"/>
    <k n="_Format" t="spb"/>
    <k n="_Icon" t="s"/>
    <k n="_Provider" t="spb"/>
    <k n="_SubLabel" t="spb"/>
    <k n="Admin Division 1 (State/province/other)" t="r"/>
    <k n="Area" t="r"/>
    <k n="Country/region" t="r"/>
    <k n="Description" t="s"/>
    <k n="Image" t="r"/>
    <k n="Latitude" t="r"/>
    <k n="LearnMoreOnLink" t="r"/>
    <k n="Longitude" t="r"/>
    <k n="Name" t="s"/>
    <k n="Population" t="r"/>
    <k n="Time zone(s)" t="r"/>
    <k n="UniqueName" t="s"/>
    <k n="VDPID/VSID" t="s"/>
  </s>
  <s t="_linkedentity2core">
    <k n="_CRID" t="e"/>
    <k n="%EntityCulture" t="s"/>
    <k n="%EntityId" t="s"/>
    <k n="%EntityServiceId" t="i"/>
    <k n="%IsRefreshable" t="b"/>
    <k n="_Attribution" t="spb"/>
    <k n="_Display" t="spb"/>
    <k n="_DisplayString" t="s"/>
    <k n="_Flags" t="spb"/>
    <k n="_Format" t="spb"/>
    <k n="_Icon" t="s"/>
    <k n="_Provider" t="spb"/>
    <k n="_SubLabel" t="spb"/>
    <k n="Abbreviation" t="s"/>
    <k n="Agricultural land (%)" t="r"/>
    <k n="Area" t="r"/>
    <k n="Armed forces size" t="r"/>
    <k n="Birth rate" t="r"/>
    <k n="Calling code" t="r"/>
    <k n="Capital/Major City" t="r"/>
    <k n="Carbon dioxide emissions" t="r"/>
    <k n="CPI" t="r"/>
    <k n="CPI Change (%)" t="r"/>
    <k n="Description" t="s"/>
    <k n="Electric power consumption" t="r"/>
    <k n="Fertility rate" t="r"/>
    <k n="Forested area (%)" t="r"/>
    <k n="Fossil fuel energy consumption" t="r"/>
    <k n="Gasoline price" t="r"/>
    <k n="GDP" t="r"/>
    <k n="Gross primary education enrollment (%)" t="r"/>
    <k n="Gross tertiary education enrollment (%)" t="r"/>
    <k n="Image" t="r"/>
    <k n="Infant mortality" t="r"/>
    <k n="Largest city" t="r"/>
    <k n="Leader(s)" t="r"/>
    <k n="LearnMoreOnLink" t="r"/>
    <k n="Life expectancy" t="r"/>
    <k n="Market cap of listed companies" t="r"/>
    <k n="Maternal mortality ratio" t="r"/>
    <k n="Minimum wage" t="r"/>
    <k n="Name" t="s"/>
    <k n="National anthem" t="s"/>
    <k n="Official language" t="r"/>
    <k n="Official name" t="s"/>
    <k n="Out of pocket health expenditure (%)" t="r"/>
    <k n="Physicians per thousand" t="r"/>
    <k n="Population" t="r"/>
    <k n="Population: Income share fourth 20%" t="r"/>
    <k n="Population: Income share highest 10%" t="r"/>
    <k n="Population: Income share highest 20%" t="r"/>
    <k n="Population: Income share lowest 10%" t="r"/>
    <k n="Population: Income share lowest 20%" t="r"/>
    <k n="Population: Income share second 20%" t="r"/>
    <k n="Population: Income share third 20%" t="r"/>
    <k n="Population: Labor force participation (%)" t="r"/>
    <k n="Subdivisions" t="r"/>
    <k n="Tax revenue (%)" t="r"/>
    <k n="Time zone(s)" t="r"/>
    <k n="Total tax rate" t="r"/>
    <k n="Unemployment rate" t="r"/>
    <k n="UniqueName" t="s"/>
    <k n="Urban population" t="r"/>
    <k n="VDPID/VSID" t="s"/>
  </s>
  <s t="_sourceattribution">
    <k n="License" t="r"/>
    <k n="Source" t="r"/>
  </s>
  <s t="_imageurl">
    <k n="_Provider" t="spb"/>
    <k n="Address" t="s"/>
    <k n="Attribution" t="r"/>
    <k n="ComputedImage" t="b"/>
    <k n="More Images Address" t="s"/>
    <k n="Text" t="s"/>
  </s>
  <s t="_linkedentitycore">
    <k n="%EntityCulture" t="s"/>
    <k n="%EntityId" t="s"/>
    <k n="%EntityServiceId"/>
    <k n="%IsRefreshable" t="b"/>
    <k n="%ProviderInfo" t="s"/>
    <k n="_Display" t="spb"/>
    <k n="_DisplayString" t="s"/>
    <k n="_Flags" t="spb"/>
    <k n="_Format" t="spb"/>
    <k n="_Icon" t="s"/>
    <k n="_SubLabel" t="spb"/>
    <k n="52 week high"/>
    <k n="52 week low"/>
    <k n="Beta"/>
    <k n="Change"/>
    <k n="Change % (Extended hours)"/>
    <k n="Change (%)"/>
    <k n="Change (Extended hours)"/>
    <k n="Currency" t="s"/>
    <k n="Description" t="s"/>
    <k n="Employees"/>
    <k n="Exchange" t="s"/>
    <k n="Exchange abbreviation" t="s"/>
    <k n="ExchangeID" t="s"/>
    <k n="Headquarters" t="s"/>
    <k n="High"/>
    <k n="Image" t="r"/>
    <k n="Industry" t="s"/>
    <k n="Instrument type" t="s"/>
    <k n="Last trade time"/>
    <k n="LearnMoreOnLink" t="r"/>
    <k n="Low"/>
    <k n="Market cap"/>
    <k n="Name" t="s"/>
    <k n="Official name" t="s"/>
    <k n="Open"/>
    <k n="P/E"/>
    <k n="Previous close"/>
    <k n="Price"/>
    <k n="Price (Extended hours)"/>
    <k n="Shares outstanding"/>
    <k n="Ticker symbol" t="s"/>
    <k n="UniqueName" t="s"/>
    <k n="Volume"/>
    <k n="Volume average"/>
    <k n="Year incorporated"/>
  </s>
  <s t="_linkedentitycore">
    <k n="%EntityCulture" t="s"/>
    <k n="%EntityId" t="s"/>
    <k n="%EntityServiceId"/>
    <k n="%IsRefreshable" t="b"/>
    <k n="%ProviderInfo" t="s"/>
    <k n="_Display" t="spb"/>
    <k n="_DisplayString" t="s"/>
    <k n="_Flags" t="spb"/>
    <k n="_Format" t="spb"/>
    <k n="_Icon" t="s"/>
    <k n="_SubLabel" t="spb"/>
    <k n="52 week high"/>
    <k n="52 week low"/>
    <k n="Beta"/>
    <k n="Change"/>
    <k n="Change (%)"/>
    <k n="Currency" t="s"/>
    <k n="Description" t="s"/>
    <k n="Employees"/>
    <k n="Exchange" t="s"/>
    <k n="Exchange abbreviation" t="s"/>
    <k n="ExchangeID" t="s"/>
    <k n="Headquarters" t="s"/>
    <k n="High"/>
    <k n="Image" t="r"/>
    <k n="Industry" t="s"/>
    <k n="Instrument type" t="s"/>
    <k n="Last trade time"/>
    <k n="LearnMoreOnLink" t="r"/>
    <k n="Low"/>
    <k n="Market cap"/>
    <k n="Name" t="s"/>
    <k n="Official name" t="s"/>
    <k n="Open"/>
    <k n="P/E"/>
    <k n="Previous close"/>
    <k n="Price"/>
    <k n="Shares outstanding"/>
    <k n="Ticker symbol" t="s"/>
    <k n="UniqueName" t="s"/>
    <k n="Volume"/>
    <k n="Year incorporated"/>
  </s>
  <s t="_linkedentitycore">
    <k n="%EntityCulture" t="s"/>
    <k n="%EntityId" t="s"/>
    <k n="%EntityServiceId"/>
    <k n="%IsRefreshable" t="b"/>
    <k n="%ProviderInfo" t="s"/>
    <k n="_Display" t="spb"/>
    <k n="_DisplayString" t="s"/>
    <k n="_Flags" t="spb"/>
    <k n="_Format" t="spb"/>
    <k n="_Icon" t="s"/>
    <k n="_SubLabel" t="spb"/>
    <k n="52 week high"/>
    <k n="52 week low"/>
    <k n="Beta"/>
    <k n="Change"/>
    <k n="Change (%)"/>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Shares outstanding"/>
    <k n="Ticker symbol" t="s"/>
    <k n="UniqueName" t="s"/>
    <k n="Volume"/>
    <k n="Year incorporated"/>
  </s>
  <s t="_linkedentitycore">
    <k n="%EntityCulture" t="s"/>
    <k n="%EntityId" t="s"/>
    <k n="%EntityServiceId"/>
    <k n="%IsRefreshable" t="b"/>
    <k n="%ProviderInfo" t="s"/>
    <k n="_Display" t="spb"/>
    <k n="_DisplayString" t="s"/>
    <k n="_Flags" t="spb"/>
    <k n="_Format" t="spb"/>
    <k n="_Icon" t="s"/>
    <k n="_SubLabel" t="spb"/>
    <k n="52 week high"/>
    <k n="52 week low"/>
    <k n="Beta"/>
    <k n="Change"/>
    <k n="Change (%)"/>
    <k n="Currency" t="s"/>
    <k n="Description" t="s"/>
    <k n="Exchange" t="s"/>
    <k n="Exchange abbreviation" t="s"/>
    <k n="ExchangeID" t="s"/>
    <k n="Headquarters" t="s"/>
    <k n="High"/>
    <k n="Industry" t="s"/>
    <k n="Instrument type" t="s"/>
    <k n="Last trade time"/>
    <k n="LearnMoreOnLink" t="r"/>
    <k n="Low"/>
    <k n="Market cap"/>
    <k n="Name" t="s"/>
    <k n="Official name" t="s"/>
    <k n="Open"/>
    <k n="P/E"/>
    <k n="Previous close"/>
    <k n="Price"/>
    <k n="Shares outstanding"/>
    <k n="Ticker symbol" t="s"/>
    <k n="UniqueName" t="s"/>
    <k n="Volume"/>
    <k n="Year incorporated"/>
  </s>
  <s t="_linkedentitycore">
    <k n="%EntityCulture" t="s"/>
    <k n="%EntityId" t="s"/>
    <k n="%EntityServiceId"/>
    <k n="%IsRefreshable" t="b"/>
    <k n="%ProviderInfo" t="s"/>
    <k n="_Display" t="spb"/>
    <k n="_DisplayString" t="s"/>
    <k n="_Flags" t="spb"/>
    <k n="_Format" t="spb"/>
    <k n="_Icon" t="s"/>
    <k n="_SubLabel" t="spb"/>
    <k n="52 week high"/>
    <k n="52 week low"/>
    <k n="Beta"/>
    <k n="Change"/>
    <k n="Change (%)"/>
    <k n="Currency" t="s"/>
    <k n="Description" t="s"/>
    <k n="Employees"/>
    <k n="Exchange" t="s"/>
    <k n="Exchange abbreviation" t="s"/>
    <k n="ExchangeID" t="s"/>
    <k n="Headquarters" t="s"/>
    <k n="Industry" t="s"/>
    <k n="Instrument type" t="s"/>
    <k n="Last trade time"/>
    <k n="LearnMoreOnLink" t="r"/>
    <k n="Market cap"/>
    <k n="Name" t="s"/>
    <k n="Official name" t="s"/>
    <k n="P/E"/>
    <k n="Previous close"/>
    <k n="Price"/>
    <k n="Shares outstanding"/>
    <k n="Ticker symbol" t="s"/>
    <k n="UniqueName" t="s"/>
    <k n="Volume"/>
    <k n="Year incorporated"/>
  </s>
  <s t="_linkedentitycore">
    <k n="%EntityCulture" t="s"/>
    <k n="%EntityId" t="s"/>
    <k n="%EntityServiceId"/>
    <k n="%IsRefreshable" t="b"/>
    <k n="%ProviderInfo" t="s"/>
    <k n="_Display" t="spb"/>
    <k n="_DisplayString" t="s"/>
    <k n="_Flags" t="spb"/>
    <k n="_Format" t="spb"/>
    <k n="_Icon" t="s"/>
    <k n="_SubLabel" t="spb"/>
    <k n="52 week high"/>
    <k n="52 week low"/>
    <k n="Beta"/>
    <k n="Change"/>
    <k n="Change (%)"/>
    <k n="Currency" t="s"/>
    <k n="Description" t="s"/>
    <k n="Employees"/>
    <k n="Exchange" t="s"/>
    <k n="Exchange abbreviation" t="s"/>
    <k n="ExchangeID" t="s"/>
    <k n="Headquarters" t="s"/>
    <k n="High"/>
    <k n="Industry" t="s"/>
    <k n="Instrument type" t="s"/>
    <k n="Last trade time"/>
    <k n="LearnMoreOnLink" t="r"/>
    <k n="Low"/>
    <k n="Market cap"/>
    <k n="Name" t="s"/>
    <k n="Official name" t="s"/>
    <k n="Open"/>
    <k n="Previous close"/>
    <k n="Price"/>
    <k n="Shares outstanding"/>
    <k n="Ticker symbol" t="s"/>
    <k n="UniqueName" t="s"/>
    <k n="Volume"/>
    <k n="Year incorporated"/>
  </s>
  <s t="_linkedentitycore">
    <k n="%EntityCulture" t="s"/>
    <k n="%EntityId" t="s"/>
    <k n="%EntityServiceId"/>
    <k n="%IsRefreshable" t="b"/>
    <k n="%ProviderInfo" t="s"/>
    <k n="_Display" t="spb"/>
    <k n="_DisplayString" t="s"/>
    <k n="_Flags" t="spb"/>
    <k n="_Format" t="spb"/>
    <k n="_Icon" t="s"/>
    <k n="_SubLabel" t="spb"/>
    <k n="52 week high"/>
    <k n="52 week low"/>
    <k n="Change"/>
    <k n="Change (%)"/>
    <k n="Currency" t="s"/>
    <k n="Exchange" t="s"/>
    <k n="Exchange abbreviation" t="s"/>
    <k n="High"/>
    <k n="Instrument type" t="s"/>
    <k n="Last trade time"/>
    <k n="LearnMoreOnLink" t="r"/>
    <k n="Low"/>
    <k n="Name" t="s"/>
    <k n="Open"/>
    <k n="Previous close"/>
    <k n="Price"/>
    <k n="Ticker symbol" t="s"/>
    <k n="UniqueName" t="s"/>
    <k n="Volume"/>
  </s>
  <s t="_linkedentitycore">
    <k n="%EntityCulture" t="s"/>
    <k n="%EntityId" t="s"/>
    <k n="%EntityServiceId"/>
    <k n="%IsRefreshable" t="b"/>
    <k n="%ProviderInfo" t="s"/>
    <k n="_Display" t="spb"/>
    <k n="_DisplayString" t="s"/>
    <k n="_Flags" t="spb"/>
    <k n="_Format" t="spb"/>
    <k n="_Icon" t="s"/>
    <k n="_SubLabel" t="spb"/>
    <k n="52 week high"/>
    <k n="52 week low"/>
    <k n="Beta"/>
    <k n="Change"/>
    <k n="Change (%)"/>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Shares outstanding"/>
    <k n="Ticker symbol" t="s"/>
    <k n="UniqueName" t="s"/>
    <k n="Volume"/>
  </s>
  <s t="_linkedentitycore">
    <k n="%EntityCulture" t="s"/>
    <k n="%EntityId" t="s"/>
    <k n="%EntityServiceId"/>
    <k n="%IsRefreshable" t="b"/>
    <k n="%ProviderInfo" t="s"/>
    <k n="_Display" t="spb"/>
    <k n="_DisplayString" t="s"/>
    <k n="_Flags" t="spb"/>
    <k n="_Format" t="spb"/>
    <k n="_Icon" t="s"/>
    <k n="_SubLabel" t="spb"/>
    <k n="52 week high"/>
    <k n="52 week low"/>
    <k n="Beta"/>
    <k n="Change"/>
    <k n="Change (%)"/>
    <k n="Currency" t="s"/>
    <k n="Exchange" t="s"/>
    <k n="Exchange abbreviation" t="s"/>
    <k n="Expense ratio"/>
    <k n="High"/>
    <k n="Instrument type" t="s"/>
    <k n="Last trade time"/>
    <k n="LearnMoreOnLink" t="r"/>
    <k n="Low"/>
    <k n="Market cap"/>
    <k n="Name" t="s"/>
    <k n="Open"/>
    <k n="Previous close"/>
    <k n="Price"/>
    <k n="Ticker symbol" t="s"/>
    <k n="UniqueName" t="s"/>
    <k n="Volume"/>
  </s>
  <s t="_linkedentitycore">
    <k n="%EntityCulture" t="s"/>
    <k n="%EntityId" t="s"/>
    <k n="%EntityServiceId"/>
    <k n="%IsRefreshable" t="b"/>
    <k n="%ProviderInfo" t="s"/>
    <k n="_Display" t="spb"/>
    <k n="_DisplayString" t="s"/>
    <k n="_Flags" t="spb"/>
    <k n="_Format" t="spb"/>
    <k n="_Icon" t="s"/>
    <k n="_SubLabel" t="spb"/>
    <k n="52 week high"/>
    <k n="52 week low"/>
    <k n="Beta"/>
    <k n="Change"/>
    <k n="Change (%)"/>
    <k n="Currency" t="s"/>
    <k n="Description" t="s"/>
    <k n="Employees"/>
    <k n="Exchange" t="s"/>
    <k n="Exchange abbreviation" t="s"/>
    <k n="ExchangeID" t="s"/>
    <k n="Headquarters" t="s"/>
    <k n="High"/>
    <k n="Industry" t="s"/>
    <k n="Instrument type" t="s"/>
    <k n="Last trade time"/>
    <k n="LearnMoreOnLink" t="r"/>
    <k n="Low"/>
    <k n="Market cap"/>
    <k n="Name" t="s"/>
    <k n="Official name" t="s"/>
    <k n="Open"/>
    <k n="Previous close"/>
    <k n="Price"/>
    <k n="Shares outstanding"/>
    <k n="Ticker symbol" t="s"/>
    <k n="UniqueName" t="s"/>
    <k n="Volume"/>
    <k n="Volume average"/>
    <k n="Year incorporated"/>
  </s>
  <s t="_linkedentitycore">
    <k n="%EntityCulture" t="s"/>
    <k n="%EntityId" t="s"/>
    <k n="%EntityServiceId"/>
    <k n="%IsRefreshable" t="b"/>
    <k n="%ProviderInfo" t="s"/>
    <k n="_Display" t="spb"/>
    <k n="_DisplayString" t="s"/>
    <k n="_Flags" t="spb"/>
    <k n="_Format" t="spb"/>
    <k n="_Icon" t="s"/>
    <k n="_SubLabel" t="spb"/>
    <k n="52 week high"/>
    <k n="52 week low"/>
    <k n="Beta"/>
    <k n="Change"/>
    <k n="Change (%)"/>
    <k n="Currency" t="s"/>
    <k n="Description" t="s"/>
    <k n="Employees"/>
    <k n="Exchange" t="s"/>
    <k n="Exchange abbreviation" t="s"/>
    <k n="ExchangeID" t="s"/>
    <k n="Headquarters" t="s"/>
    <k n="Industry" t="s"/>
    <k n="Instrument type" t="s"/>
    <k n="Last trade time"/>
    <k n="LearnMoreOnLink" t="r"/>
    <k n="Market cap"/>
    <k n="Name" t="s"/>
    <k n="Official name" t="s"/>
    <k n="Open"/>
    <k n="P/E"/>
    <k n="Previous close"/>
    <k n="Price"/>
    <k n="Shares outstanding"/>
    <k n="Ticker symbol" t="s"/>
    <k n="UniqueName" t="s"/>
    <k n="Volume"/>
    <k n="Year incorporated"/>
  </s>
  <s t="_linkedentitycore">
    <k n="%EntityCulture" t="s"/>
    <k n="%EntityId" t="s"/>
    <k n="%EntityServiceId"/>
    <k n="%IsRefreshable" t="b"/>
    <k n="%ProviderInfo" t="s"/>
    <k n="_Display" t="spb"/>
    <k n="_DisplayString" t="s"/>
    <k n="_Flags" t="spb"/>
    <k n="_Format" t="spb"/>
    <k n="_Icon" t="s"/>
    <k n="_SubLabel" t="spb"/>
    <k n="52 week high"/>
    <k n="52 week low"/>
    <k n="Beta"/>
    <k n="Change"/>
    <k n="Change % (Extended hours)"/>
    <k n="Change (%)"/>
    <k n="Change (Extended hours)"/>
    <k n="Currency" t="s"/>
    <k n="Exchange" t="s"/>
    <k n="Exchange abbreviation" t="s"/>
    <k n="Expense ratio"/>
    <k n="High"/>
    <k n="Instrument type" t="s"/>
    <k n="Last trade time"/>
    <k n="LearnMoreOnLink" t="r"/>
    <k n="Low"/>
    <k n="Market cap"/>
    <k n="Name" t="s"/>
    <k n="Open"/>
    <k n="Previous close"/>
    <k n="Price"/>
    <k n="Price (Extended hours)"/>
    <k n="Ticker symbol" t="s"/>
    <k n="UniqueName" t="s"/>
    <k n="Volume"/>
    <k n="Volume average"/>
  </s>
  <s t="_linkedentitycore">
    <k n="%EntityCulture" t="s"/>
    <k n="%EntityId" t="s"/>
    <k n="%EntityServiceId"/>
    <k n="%IsRefreshable" t="b"/>
    <k n="%ProviderInfo" t="s"/>
    <k n="_Display" t="spb"/>
    <k n="_DisplayString" t="s"/>
    <k n="_Flags" t="spb"/>
    <k n="_Format" t="spb"/>
    <k n="_Icon" t="s"/>
    <k n="_SubLabel" t="spb"/>
    <k n="52 week high"/>
    <k n="52 week low"/>
    <k n="Beta"/>
    <k n="Change"/>
    <k n="Change % (Extended hours)"/>
    <k n="Change (%)"/>
    <k n="Change (Extended hours)"/>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Price (Extended hours)"/>
    <k n="Shares outstanding"/>
    <k n="Ticker symbol" t="s"/>
    <k n="UniqueName" t="s"/>
    <k n="Volume"/>
    <k n="Volume average"/>
    <k n="Year incorporated"/>
  </s>
  <s t="_linkedentitycore">
    <k n="%EntityCulture" t="s"/>
    <k n="%EntityId" t="s"/>
    <k n="%EntityServiceId"/>
    <k n="%IsRefreshable" t="b"/>
    <k n="%ProviderInfo" t="s"/>
    <k n="_Display" t="spb"/>
    <k n="_DisplayString" t="s"/>
    <k n="_Flags" t="spb"/>
    <k n="_Format" t="spb"/>
    <k n="_Icon" t="s"/>
    <k n="_SubLabel" t="spb"/>
    <k n="52 week high"/>
    <k n="52 week low"/>
    <k n="Change"/>
    <k n="Change % (Extended hours)"/>
    <k n="Change (%)"/>
    <k n="Change (Extended hours)"/>
    <k n="Currency" t="s"/>
    <k n="Description" t="s"/>
    <k n="Employees"/>
    <k n="Exchange" t="s"/>
    <k n="Exchange abbreviation" t="s"/>
    <k n="ExchangeID" t="s"/>
    <k n="Headquarters" t="s"/>
    <k n="High"/>
    <k n="Industry" t="s"/>
    <k n="Instrument type" t="s"/>
    <k n="Last trade time"/>
    <k n="LearnMoreOnLink" t="r"/>
    <k n="Low"/>
    <k n="Market cap"/>
    <k n="Name" t="s"/>
    <k n="Official name" t="s"/>
    <k n="Open"/>
    <k n="Previous close"/>
    <k n="Price"/>
    <k n="Price (Extended hours)"/>
    <k n="Shares outstanding"/>
    <k n="Ticker symbol" t="s"/>
    <k n="UniqueName" t="s"/>
    <k n="Volume"/>
    <k n="Volume average"/>
    <k n="Year incorporated"/>
  </s>
  <s t="_linkedentitycore">
    <k n="%EntityCulture" t="s"/>
    <k n="%EntityId" t="s"/>
    <k n="%EntityServiceId"/>
    <k n="%IsRefreshable" t="b"/>
    <k n="%ProviderInfo" t="s"/>
    <k n="_Display" t="spb"/>
    <k n="_DisplayString" t="s"/>
    <k n="_Flags" t="spb"/>
    <k n="_Format" t="spb"/>
    <k n="_Icon" t="s"/>
    <k n="_SubLabel" t="spb"/>
    <k n="52 week high"/>
    <k n="52 week low"/>
    <k n="Change"/>
    <k n="Change % (Extended hours)"/>
    <k n="Change (%)"/>
    <k n="Change (Extended hours)"/>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Price (Extended hours)"/>
    <k n="Shares outstanding"/>
    <k n="Ticker symbol" t="s"/>
    <k n="UniqueName" t="s"/>
    <k n="Volume"/>
    <k n="Volume average"/>
    <k n="Year incorporated"/>
  </s>
  <s t="_linkedentitycore">
    <k n="%EntityCulture" t="s"/>
    <k n="%EntityId" t="s"/>
    <k n="%EntityServiceId"/>
    <k n="%IsRefreshable" t="b"/>
    <k n="%ProviderInfo" t="s"/>
    <k n="_Display" t="spb"/>
    <k n="_DisplayString" t="s"/>
    <k n="_Flags" t="spb"/>
    <k n="_Format" t="spb"/>
    <k n="_Icon" t="s"/>
    <k n="_SubLabel" t="spb"/>
    <k n="52 week high"/>
    <k n="52 week low"/>
    <k n="Change"/>
    <k n="Change % (Extended hours)"/>
    <k n="Change (%)"/>
    <k n="Change (Extended hours)"/>
    <k n="Currency" t="s"/>
    <k n="Description" t="s"/>
    <k n="Employees"/>
    <k n="Exchange" t="s"/>
    <k n="Exchange abbreviation" t="s"/>
    <k n="ExchangeID" t="s"/>
    <k n="Headquarters" t="s"/>
    <k n="High"/>
    <k n="Image" t="r"/>
    <k n="Industry" t="s"/>
    <k n="Instrument type" t="s"/>
    <k n="Last trade time"/>
    <k n="LearnMoreOnLink" t="r"/>
    <k n="Low"/>
    <k n="Market cap"/>
    <k n="Name" t="s"/>
    <k n="Official name" t="s"/>
    <k n="Open"/>
    <k n="P/E"/>
    <k n="Previous close"/>
    <k n="Price"/>
    <k n="Price (Extended hours)"/>
    <k n="Shares outstanding"/>
    <k n="Ticker symbol" t="s"/>
    <k n="UniqueName" t="s"/>
    <k n="Volume"/>
    <k n="Volume average"/>
    <k n="Year incorporated"/>
  </s>
  <s t="_linkedentitycore">
    <k n="%EntityCulture" t="s"/>
    <k n="%EntityId" t="s"/>
    <k n="%EntityServiceId"/>
    <k n="%IsRefreshable" t="b"/>
    <k n="%ProviderInfo" t="s"/>
    <k n="_Display" t="spb"/>
    <k n="_DisplayString" t="s"/>
    <k n="_Flags" t="spb"/>
    <k n="_Format" t="spb"/>
    <k n="_Icon" t="s"/>
    <k n="_SubLabel" t="spb"/>
    <k n="Currency" t="s"/>
    <k n="Exchange" t="s"/>
    <k n="Exchange abbreviation" t="s"/>
    <k n="Instrument type" t="s"/>
    <k n="LearnMoreOnLink" t="r"/>
    <k n="Name" t="s"/>
    <k n="UniqueName" t="s"/>
  </s>
  <s t="_error">
    <k n="errorType" t="i"/>
    <k n="field" t="s"/>
    <k n="subType" t="i"/>
  </s>
</rvStructures>
</file>

<file path=xl/richData/rdsupportingpropertybag.xml><?xml version="1.0" encoding="utf-8"?>
<supportingPropertyBags xmlns="http://schemas.microsoft.com/office/spreadsheetml/2017/richdata2">
  <spbArrays count="25">
    <a count="64">
      <v t="s">%EntityServiceId</v>
      <v t="s">%IsRefreshable</v>
      <v t="s">%EntityCulture</v>
      <v t="s">%EntityId</v>
      <v t="s">_Icon</v>
      <v t="s">_Provider</v>
      <v t="s">_Attribution</v>
      <v t="s">_Display</v>
      <v t="s">Name</v>
      <v t="s">_Format</v>
      <v t="s">Capital/Major City</v>
      <v t="s">Leader(s)</v>
      <v t="s">_SubLabel</v>
      <v t="s">Population</v>
      <v t="s">Area</v>
      <v t="s">Abbreviation</v>
      <v t="s">GDP</v>
      <v t="s">Currency code</v>
      <v t="s">Largest city</v>
      <v t="s">National anthem</v>
      <v t="s">Official language</v>
      <v t="s">Official name</v>
      <v t="s">Subdivisions</v>
      <v t="s">Life expectancy</v>
      <v t="s">Birth rate</v>
      <v t="s">Fertility rate</v>
      <v t="s">Infant mortality</v>
      <v t="s">Maternal mortality ratio</v>
      <v t="s">Urban population</v>
      <v t="s">Agricultural land (%)</v>
      <v t="s">Forested area (%)</v>
      <v t="s">Carbon dioxide emissions</v>
      <v t="s">Fossil fuel energy consumption</v>
      <v t="s">Gasoline price</v>
      <v t="s">Electric power consumption</v>
      <v t="s">CPI</v>
      <v t="s">CPI Change (%)</v>
      <v t="s">Population: Income share highest 10%</v>
      <v t="s">Population: Income share highest 20%</v>
      <v t="s">Population: Income share second 20%</v>
      <v t="s">Population: Income share third 20%</v>
      <v t="s">Population: Income share fourth 20%</v>
      <v t="s">Population: Income share lowest 20%</v>
      <v t="s">Population: Income share lowest 10%</v>
      <v t="s">Population: Labor force participation (%)</v>
      <v t="s">Minimum wage</v>
      <v t="s">Tax revenue (%)</v>
      <v t="s">Total tax rate</v>
      <v t="s">Unemployment rate</v>
      <v t="s">Market cap of listed companies</v>
      <v t="s">Gross primary education enrollment (%)</v>
      <v t="s">Gross tertiary education enrollment (%)</v>
      <v t="s">Out of pocket health expenditure (%)</v>
      <v t="s">Physicians per thousand</v>
      <v t="s">Armed forces size</v>
      <v t="s">Time zone(s)</v>
      <v t="s">Calling code</v>
      <v t="s">_Flags</v>
      <v t="s">VDPID/VSID</v>
      <v t="s">UniqueName</v>
      <v t="s">_DisplayString</v>
      <v t="s">LearnMoreOnLink</v>
      <v t="s">Image</v>
      <v t="s">Description</v>
    </a>
    <a count="27">
      <v t="s">%EntityServiceId</v>
      <v t="s">_Format</v>
      <v t="s">%IsRefreshable</v>
      <v t="s">%EntityCulture</v>
      <v t="s">%EntityId</v>
      <v t="s">_Icon</v>
      <v t="s">_Display</v>
      <v t="s">Name</v>
      <v t="s">Price</v>
      <v t="s">_SubLabel</v>
      <v t="s">Last trade time</v>
      <v t="s">Ticker symbol</v>
      <v t="s">Change</v>
      <v t="s">Change (%)</v>
      <v t="s">Currency</v>
      <v t="s">From currency</v>
      <v t="s">Previous close</v>
      <v t="s">Open</v>
      <v t="s">High</v>
      <v t="s">Low</v>
      <v t="s">52 week high</v>
      <v t="s">52 week low</v>
      <v t="s">Instrument type</v>
      <v t="s">_Flags</v>
      <v t="s">UniqueName</v>
      <v t="s">_DisplayString</v>
      <v t="s">%ProviderInfo</v>
    </a>
    <a count="49">
      <v t="s">%EntityServiceId</v>
      <v t="s">%IsRefreshable</v>
      <v t="s">%EntityCulture</v>
      <v t="s">%EntityId</v>
      <v t="s">_Icon</v>
      <v t="s">_Provider</v>
      <v t="s">_Attribution</v>
      <v t="s">_Display</v>
      <v t="s">Name</v>
      <v t="s">_Format</v>
      <v t="s">Capital/Major City</v>
      <v t="s">Leader(s)</v>
      <v t="s">_SubLabel</v>
      <v t="s">Population</v>
      <v t="s">Area</v>
      <v t="s">Abbreviation</v>
      <v t="s">GDP</v>
      <v t="s">Largest city</v>
      <v t="s">National anthem</v>
      <v t="s">Official language</v>
      <v t="s">Official name</v>
      <v t="s">Life expectancy</v>
      <v t="s">Birth rate</v>
      <v t="s">Fertility rate</v>
      <v t="s">Urban population</v>
      <v t="s">Agricultural land (%)</v>
      <v t="s">Carbon dioxide emissions</v>
      <v t="s">Fossil fuel energy consumption</v>
      <v t="s">Gasoline price</v>
      <v t="s">Electric power consumption</v>
      <v t="s">CPI</v>
      <v t="s">CPI Change (%)</v>
      <v t="s">Population: Labor force participation (%)</v>
      <v t="s">Minimum wage</v>
      <v t="s">Total tax rate</v>
      <v t="s">Unemployment rate</v>
      <v t="s">Market cap of listed companies</v>
      <v t="s">Gross primary education enrollment (%)</v>
      <v t="s">Gross tertiary education enrollment (%)</v>
      <v t="s">Physicians per thousand</v>
      <v t="s">Time zone(s)</v>
      <v t="s">Calling code</v>
      <v t="s">_Flags</v>
      <v t="s">VDPID/VSID</v>
      <v t="s">UniqueName</v>
      <v t="s">_DisplayString</v>
      <v t="s">LearnMoreOnLink</v>
      <v t="s">Image</v>
      <v t="s">Description</v>
    </a>
    <a count="26">
      <v t="s">%EntityServiceId</v>
      <v t="s">_Format</v>
      <v t="s">%IsRefreshable</v>
      <v t="s">%EntityCulture</v>
      <v t="s">%EntityId</v>
      <v t="s">_Icon</v>
      <v t="s">_Display</v>
      <v t="s">Name</v>
      <v t="s">Price</v>
      <v t="s">_SubLabel</v>
      <v t="s">Last trade time</v>
      <v t="s">Ticker symbol</v>
      <v t="s">Change</v>
      <v t="s">Currency</v>
      <v t="s">From currency</v>
      <v t="s">Previous close</v>
      <v t="s">Open</v>
      <v t="s">High</v>
      <v t="s">Low</v>
      <v t="s">52 week high</v>
      <v t="s">52 week low</v>
      <v t="s">Instrument type</v>
      <v t="s">_Flags</v>
      <v t="s">UniqueName</v>
      <v t="s">_DisplayString</v>
      <v t="s">%ProviderInfo</v>
    </a>
    <a count="55">
      <v t="s">%EntityServiceId</v>
      <v t="s">%IsRefreshable</v>
      <v t="s">%EntityCulture</v>
      <v t="s">%EntityId</v>
      <v t="s">_Icon</v>
      <v t="s">_Provider</v>
      <v t="s">_Attribution</v>
      <v t="s">_Display</v>
      <v t="s">Name</v>
      <v t="s">_Format</v>
      <v t="s">Capital/Major City</v>
      <v t="s">Leader(s)</v>
      <v t="s">_SubLabel</v>
      <v t="s">Population</v>
      <v t="s">Area</v>
      <v t="s">Abbreviation</v>
      <v t="s">GDP</v>
      <v t="s">Currency code</v>
      <v t="s">National anthem</v>
      <v t="s">Official language</v>
      <v t="s">Official name</v>
      <v t="s">Subdivisions</v>
      <v t="s">Life expectancy</v>
      <v t="s">Birth rate</v>
      <v t="s">Fertility rate</v>
      <v t="s">Infant mortality</v>
      <v t="s">Maternal mortality ratio</v>
      <v t="s">Urban population</v>
      <v t="s">Agricultural land (%)</v>
      <v t="s">Forested area (%)</v>
      <v t="s">Carbon dioxide emissions</v>
      <v t="s">Fossil fuel energy consumption</v>
      <v t="s">Gasoline price</v>
      <v t="s">Electric power consumption</v>
      <v t="s">CPI</v>
      <v t="s">CPI Change (%)</v>
      <v t="s">Population: Labor force participation (%)</v>
      <v t="s">Tax revenue (%)</v>
      <v t="s">Total tax rate</v>
      <v t="s">Unemployment rate</v>
      <v t="s">Market cap of listed companies</v>
      <v t="s">Gross primary education enrollment (%)</v>
      <v t="s">Gross tertiary education enrollment (%)</v>
      <v t="s">Out of pocket health expenditure (%)</v>
      <v t="s">Physicians per thousand</v>
      <v t="s">Armed forces size</v>
      <v t="s">Time zone(s)</v>
      <v t="s">Calling code</v>
      <v t="s">_Flags</v>
      <v t="s">VDPID/VSID</v>
      <v t="s">UniqueName</v>
      <v t="s">_DisplayString</v>
      <v t="s">LearnMoreOnLink</v>
      <v t="s">Image</v>
      <v t="s">Description</v>
    </a>
    <a count="24">
      <v t="s">%EntityServiceId</v>
      <v t="s">%IsRefreshable</v>
      <v t="s">%EntityCulture</v>
      <v t="s">%EntityId</v>
      <v t="s">_Icon</v>
      <v t="s">_Provider</v>
      <v t="s">_Attribution</v>
      <v t="s">_Display</v>
      <v t="s">Name</v>
      <v t="s">_Format</v>
      <v t="s">Leader(s)</v>
      <v t="s">Country/region</v>
      <v t="s">_SubLabel</v>
      <v t="s">Population</v>
      <v t="s">Area</v>
      <v t="s">Abbreviation</v>
      <v t="s">Time zone(s)</v>
      <v t="s">_Flags</v>
      <v t="s">VDPID/VSID</v>
      <v t="s">UniqueName</v>
      <v t="s">_DisplayString</v>
      <v t="s">LearnMoreOnLink</v>
      <v t="s">Image</v>
      <v t="s">Description</v>
    </a>
    <a count="25">
      <v t="s">%EntityServiceId</v>
      <v t="s">%IsRefreshable</v>
      <v t="s">%EntityCulture</v>
      <v t="s">%EntityId</v>
      <v t="s">_Icon</v>
      <v t="s">_Provider</v>
      <v t="s">_Attribution</v>
      <v t="s">_Display</v>
      <v t="s">Name</v>
      <v t="s">_Format</v>
      <v t="s">Admin Division 1 (State/province/other)</v>
      <v t="s">Country/region</v>
      <v t="s">_SubLabel</v>
      <v t="s">Population</v>
      <v t="s">Area</v>
      <v t="s">Latitude</v>
      <v t="s">Longitude</v>
      <v t="s">Time zone(s)</v>
      <v t="s">_Flags</v>
      <v t="s">VDPID/VSID</v>
      <v t="s">UniqueName</v>
      <v t="s">_DisplayString</v>
      <v t="s">LearnMoreOnLink</v>
      <v t="s">Image</v>
      <v t="s">Description</v>
    </a>
    <a count="63">
      <v t="s">%EntityServiceId</v>
      <v t="s">%IsRefreshable</v>
      <v t="s">%EntityCulture</v>
      <v t="s">%EntityId</v>
      <v t="s">_Icon</v>
      <v t="s">_Provider</v>
      <v t="s">_Attribution</v>
      <v t="s">_Display</v>
      <v t="s">Name</v>
      <v t="s">_Format</v>
      <v t="s">Capital/Major City</v>
      <v t="s">Leader(s)</v>
      <v t="s">_SubLabel</v>
      <v t="s">Population</v>
      <v t="s">Area</v>
      <v t="s">Abbreviation</v>
      <v t="s">GDP</v>
      <v t="s">Largest city</v>
      <v t="s">National anthem</v>
      <v t="s">Official language</v>
      <v t="s">Official name</v>
      <v t="s">Subdivisions</v>
      <v t="s">Life expectancy</v>
      <v t="s">Birth rate</v>
      <v t="s">Fertility rate</v>
      <v t="s">Infant mortality</v>
      <v t="s">Maternal mortality ratio</v>
      <v t="s">Urban population</v>
      <v t="s">Agricultural land (%)</v>
      <v t="s">Forested area (%)</v>
      <v t="s">Carbon dioxide emissions</v>
      <v t="s">Fossil fuel energy consumption</v>
      <v t="s">Gasoline price</v>
      <v t="s">Electric power consumption</v>
      <v t="s">CPI</v>
      <v t="s">CPI Change (%)</v>
      <v t="s">Population: Income share highest 10%</v>
      <v t="s">Population: Income share highest 20%</v>
      <v t="s">Population: Income share second 20%</v>
      <v t="s">Population: Income share third 20%</v>
      <v t="s">Population: Income share fourth 20%</v>
      <v t="s">Population: Income share lowest 20%</v>
      <v t="s">Population: Income share lowest 10%</v>
      <v t="s">Population: Labor force participation (%)</v>
      <v t="s">Minimum wage</v>
      <v t="s">Tax revenue (%)</v>
      <v t="s">Total tax rate</v>
      <v t="s">Unemployment rate</v>
      <v t="s">Market cap of listed companies</v>
      <v t="s">Gross primary education enrollment (%)</v>
      <v t="s">Gross tertiary education enrollment (%)</v>
      <v t="s">Out of pocket health expenditure (%)</v>
      <v t="s">Physicians per thousand</v>
      <v t="s">Armed forces size</v>
      <v t="s">Time zone(s)</v>
      <v t="s">Calling code</v>
      <v t="s">_Flags</v>
      <v t="s">VDPID/VSID</v>
      <v t="s">UniqueName</v>
      <v t="s">_DisplayString</v>
      <v t="s">LearnMoreOnLink</v>
      <v t="s">Image</v>
      <v t="s">Description</v>
    </a>
    <a count="46">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Image</v>
      <v t="s">ExchangeID</v>
      <v t="s">%ProviderInfo</v>
    </a>
    <a count="42">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Market cap</v>
      <v t="s">Beta</v>
      <v t="s">P/E</v>
      <v t="s">Shares outstanding</v>
      <v t="s">Description</v>
      <v t="s">Employees</v>
      <v t="s">Headquarters</v>
      <v t="s">Industry</v>
      <v t="s">Instrument type</v>
      <v t="s">Year incorporated</v>
      <v t="s">_Flags</v>
      <v t="s">UniqueName</v>
      <v t="s">_DisplayString</v>
      <v t="s">LearnMoreOnLink</v>
      <v t="s">Image</v>
      <v t="s">ExchangeID</v>
      <v t="s">%ProviderInfo</v>
    </a>
    <a count="41">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Market cap</v>
      <v t="s">Beta</v>
      <v t="s">P/E</v>
      <v t="s">Shares outstanding</v>
      <v t="s">Description</v>
      <v t="s">Employees</v>
      <v t="s">Headquarters</v>
      <v t="s">Industry</v>
      <v t="s">Instrument type</v>
      <v t="s">Year incorporated</v>
      <v t="s">_Flags</v>
      <v t="s">UniqueName</v>
      <v t="s">_DisplayString</v>
      <v t="s">LearnMoreOnLink</v>
      <v t="s">ExchangeID</v>
      <v t="s">%ProviderInfo</v>
    </a>
    <a count="40">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Market cap</v>
      <v t="s">Beta</v>
      <v t="s">P/E</v>
      <v t="s">Shares outstanding</v>
      <v t="s">Description</v>
      <v t="s">Headquarters</v>
      <v t="s">Industry</v>
      <v t="s">Instrument type</v>
      <v t="s">Year incorporated</v>
      <v t="s">_Flags</v>
      <v t="s">UniqueName</v>
      <v t="s">_DisplayString</v>
      <v t="s">LearnMoreOnLink</v>
      <v t="s">ExchangeID</v>
      <v t="s">%ProviderInfo</v>
    </a>
    <a count="38">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52 week high</v>
      <v t="s">52 week low</v>
      <v t="s">Volume</v>
      <v t="s">Market cap</v>
      <v t="s">Beta</v>
      <v t="s">P/E</v>
      <v t="s">Shares outstanding</v>
      <v t="s">Description</v>
      <v t="s">Employees</v>
      <v t="s">Headquarters</v>
      <v t="s">Industry</v>
      <v t="s">Instrument type</v>
      <v t="s">Year incorporated</v>
      <v t="s">_Flags</v>
      <v t="s">UniqueName</v>
      <v t="s">_DisplayString</v>
      <v t="s">LearnMoreOnLink</v>
      <v t="s">ExchangeID</v>
      <v t="s">%ProviderInfo</v>
    </a>
    <a count="40">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Market cap</v>
      <v t="s">Beta</v>
      <v t="s">Shares outstanding</v>
      <v t="s">Description</v>
      <v t="s">Employees</v>
      <v t="s">Headquarters</v>
      <v t="s">Industry</v>
      <v t="s">Instrument type</v>
      <v t="s">Year incorporated</v>
      <v t="s">_Flags</v>
      <v t="s">UniqueName</v>
      <v t="s">_DisplayString</v>
      <v t="s">LearnMoreOnLink</v>
      <v t="s">ExchangeID</v>
      <v t="s">%ProviderInfo</v>
    </a>
    <a count="30">
      <v t="s">%EntityServiceId</v>
      <v t="s">_Format</v>
      <v t="s">%IsRefreshable</v>
      <v t="s">%EntityCulture</v>
      <v t="s">%EntityId</v>
      <v t="s">_Icon</v>
      <v t="s">_Display</v>
      <v t="s">Name</v>
      <v t="s">_SubLabel</v>
      <v t="s">Price</v>
      <v t="s">Exchange</v>
      <v t="s">Last trade time</v>
      <v t="s">Ticker symbol</v>
      <v t="s">Exchange abbreviation</v>
      <v t="s">Change</v>
      <v t="s">Change (%)</v>
      <v t="s">Currency</v>
      <v t="s">Previous close</v>
      <v t="s">Open</v>
      <v t="s">High</v>
      <v t="s">Low</v>
      <v t="s">52 week high</v>
      <v t="s">52 week low</v>
      <v t="s">Volume</v>
      <v t="s">Instrument type</v>
      <v t="s">_Flags</v>
      <v t="s">UniqueName</v>
      <v t="s">_DisplayString</v>
      <v t="s">LearnMoreOnLink</v>
      <v t="s">%ProviderInfo</v>
    </a>
    <a count="40">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Market cap</v>
      <v t="s">Beta</v>
      <v t="s">P/E</v>
      <v t="s">Shares outstanding</v>
      <v t="s">Description</v>
      <v t="s">Employees</v>
      <v t="s">Headquarters</v>
      <v t="s">Industry</v>
      <v t="s">Instrument type</v>
      <v t="s">_Flags</v>
      <v t="s">UniqueName</v>
      <v t="s">_DisplayString</v>
      <v t="s">LearnMoreOnLink</v>
      <v t="s">ExchangeID</v>
      <v t="s">%ProviderInfo</v>
    </a>
    <a count="33">
      <v t="s">%EntityServiceId</v>
      <v t="s">_Format</v>
      <v t="s">%IsRefreshable</v>
      <v t="s">%EntityCulture</v>
      <v t="s">%EntityId</v>
      <v t="s">_Icon</v>
      <v t="s">_Display</v>
      <v t="s">Name</v>
      <v t="s">_SubLabel</v>
      <v t="s">Price</v>
      <v t="s">Exchange</v>
      <v t="s">Last trade time</v>
      <v t="s">Ticker symbol</v>
      <v t="s">Exchange abbreviation</v>
      <v t="s">Change</v>
      <v t="s">Expense ratio</v>
      <v t="s">Change (%)</v>
      <v t="s">Currency</v>
      <v t="s">Previous close</v>
      <v t="s">Open</v>
      <v t="s">High</v>
      <v t="s">Low</v>
      <v t="s">52 week high</v>
      <v t="s">52 week low</v>
      <v t="s">Volume</v>
      <v t="s">Market cap</v>
      <v t="s">Beta</v>
      <v t="s">Instrument type</v>
      <v t="s">_Flags</v>
      <v t="s">UniqueName</v>
      <v t="s">_DisplayString</v>
      <v t="s">LearnMoreOnLink</v>
      <v t="s">%ProviderInfo</v>
    </a>
    <a count="41">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Shares outstanding</v>
      <v t="s">Description</v>
      <v t="s">Employees</v>
      <v t="s">Headquarters</v>
      <v t="s">Industry</v>
      <v t="s">Instrument type</v>
      <v t="s">Year incorporated</v>
      <v t="s">_Flags</v>
      <v t="s">UniqueName</v>
      <v t="s">_DisplayString</v>
      <v t="s">LearnMoreOnLink</v>
      <v t="s">ExchangeID</v>
      <v t="s">%ProviderInfo</v>
    </a>
    <a count="39">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52 week high</v>
      <v t="s">52 week low</v>
      <v t="s">Volume</v>
      <v t="s">Market cap</v>
      <v t="s">Beta</v>
      <v t="s">P/E</v>
      <v t="s">Shares outstanding</v>
      <v t="s">Description</v>
      <v t="s">Employees</v>
      <v t="s">Headquarters</v>
      <v t="s">Industry</v>
      <v t="s">Instrument type</v>
      <v t="s">Year incorporated</v>
      <v t="s">_Flags</v>
      <v t="s">UniqueName</v>
      <v t="s">_DisplayString</v>
      <v t="s">LearnMoreOnLink</v>
      <v t="s">ExchangeID</v>
      <v t="s">%ProviderInfo</v>
    </a>
    <a count="37">
      <v t="s">%EntityServiceId</v>
      <v t="s">_Format</v>
      <v t="s">%IsRefreshable</v>
      <v t="s">%EntityCulture</v>
      <v t="s">%EntityId</v>
      <v t="s">_Icon</v>
      <v t="s">_Display</v>
      <v t="s">Name</v>
      <v t="s">_SubLabel</v>
      <v t="s">Price</v>
      <v t="s">Price (Extended hours)</v>
      <v t="s">Exchange</v>
      <v t="s">Last trade time</v>
      <v t="s">Ticker symbol</v>
      <v t="s">Exchange abbreviation</v>
      <v t="s">Change</v>
      <v t="s">Change (Extended hours)</v>
      <v t="s">Expense ratio</v>
      <v t="s">Change (%)</v>
      <v t="s">Change % (Extended hours)</v>
      <v t="s">Currency</v>
      <v t="s">Previous close</v>
      <v t="s">Open</v>
      <v t="s">High</v>
      <v t="s">Low</v>
      <v t="s">52 week high</v>
      <v t="s">52 week low</v>
      <v t="s">Volume</v>
      <v t="s">Volume average</v>
      <v t="s">Market cap</v>
      <v t="s">Beta</v>
      <v t="s">Instrument type</v>
      <v t="s">_Flags</v>
      <v t="s">UniqueName</v>
      <v t="s">_DisplayString</v>
      <v t="s">LearnMoreOnLink</v>
      <v t="s">%ProviderInfo</v>
    </a>
    <a count="45">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ExchangeID</v>
      <v t="s">%ProviderInfo</v>
    </a>
    <a count="43">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Shares outstanding</v>
      <v t="s">Description</v>
      <v t="s">Employees</v>
      <v t="s">Headquarters</v>
      <v t="s">Industry</v>
      <v t="s">Instrument type</v>
      <v t="s">Year incorporated</v>
      <v t="s">_Flags</v>
      <v t="s">UniqueName</v>
      <v t="s">_DisplayString</v>
      <v t="s">LearnMoreOnLink</v>
      <v t="s">ExchangeID</v>
      <v t="s">%ProviderInfo</v>
    </a>
    <a count="44">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P/E</v>
      <v t="s">Shares outstanding</v>
      <v t="s">Description</v>
      <v t="s">Employees</v>
      <v t="s">Headquarters</v>
      <v t="s">Industry</v>
      <v t="s">Instrument type</v>
      <v t="s">Year incorporated</v>
      <v t="s">_Flags</v>
      <v t="s">UniqueName</v>
      <v t="s">_DisplayString</v>
      <v t="s">LearnMoreOnLink</v>
      <v t="s">ExchangeID</v>
      <v t="s">%ProviderInfo</v>
    </a>
    <a count="45">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P/E</v>
      <v t="s">Shares outstanding</v>
      <v t="s">Description</v>
      <v t="s">Employees</v>
      <v t="s">Headquarters</v>
      <v t="s">Industry</v>
      <v t="s">Instrument type</v>
      <v t="s">Year incorporated</v>
      <v t="s">_Flags</v>
      <v t="s">UniqueName</v>
      <v t="s">_DisplayString</v>
      <v t="s">LearnMoreOnLink</v>
      <v t="s">Image</v>
      <v t="s">ExchangeID</v>
      <v t="s">%ProviderInfo</v>
    </a>
    <a count="18">
      <v t="s">%EntityServiceId</v>
      <v t="s">_Format</v>
      <v t="s">%IsRefreshable</v>
      <v t="s">%EntityCulture</v>
      <v t="s">%EntityId</v>
      <v t="s">_Icon</v>
      <v t="s">_Display</v>
      <v t="s">Name</v>
      <v t="s">_SubLabel</v>
      <v t="s">Exchange</v>
      <v t="s">Exchange abbreviation</v>
      <v t="s">Currency</v>
      <v t="s">Instrument type</v>
      <v t="s">_Flags</v>
      <v t="s">UniqueName</v>
      <v t="s">_DisplayString</v>
      <v t="s">LearnMoreOnLink</v>
      <v t="s">%ProviderInfo</v>
    </a>
  </spbArrays>
  <spbData count="233">
    <spb s="0">
      <v xml:space="preserve">data.worldbank.org	</v>
      <v xml:space="preserve">	</v>
      <v xml:space="preserve">http://data.worldbank.org/indicator/FP.CPI.TOTL	</v>
      <v xml:space="preserve">	</v>
    </spb>
    <spb s="0">
      <v xml:space="preserve">Wikipedia	US Census	</v>
      <v xml:space="preserve">CC-BY-SA		</v>
      <v xml:space="preserve">http://en.wikipedia.org/wiki/United_States	http://www.census.gov/quickfacts/table/VET605214/	</v>
      <v xml:space="preserve">http://creativecommons.org/licenses/by-sa/3.0/		</v>
    </spb>
    <spb s="0">
      <v xml:space="preserve">US Census	Cia	</v>
      <v xml:space="preserve">		</v>
      <v xml:space="preserve">https://www.census.gov/popest/data/state/asrh/2014/files/SC-EST2014-AGESEX-CIV.csv	https://www.cia.gov/library/publications/the-world-factbook/geos/us.html?Transportation	</v>
      <v xml:space="preserve">		</v>
    </spb>
    <spb s="0">
      <v xml:space="preserve">Wikipedia	Wikipedia	US Census	Cia	US Census	Sec	</v>
      <v xml:space="preserve">CC-BY-SA	CC-BY-SA					</v>
      <v xml:space="preserve">http://en.wikipedia.org/wiki/United_States	https://en.wikipedia.org/wiki/United_States	https://www.census.gov/popest/data/state/asrh/2014/files/SC-EST2014-AGESEX-CIV.csv	https://www.cia.gov/library/publications/the-world-factbook/geos/us.html?Transportation	http://www.census.gov/quickfacts/table/VET605214/	https://www.sec.gov/cgi-bin/browse-edgar?action=getcompany&amp;CIK=0001599637	</v>
      <v xml:space="preserve">http://creativecommons.org/licenses/by-sa/3.0/	http://creativecommons.org/licenses/by-sa/3.0/					</v>
    </spb>
    <spb s="0">
      <v xml:space="preserve">data.worldbank.org	</v>
      <v xml:space="preserve">	</v>
      <v xml:space="preserve">http://data.worldbank.org/indicator/SP.DYN.CBRT.IN	</v>
      <v xml:space="preserve">	</v>
    </spb>
    <spb s="0">
      <v xml:space="preserve">data.worldbank.org	</v>
      <v xml:space="preserve">	</v>
      <v xml:space="preserve">http://data.worldbank.org/indicator/SP.POP.TOTL	</v>
      <v xml:space="preserve">	</v>
    </spb>
    <spb s="0">
      <v xml:space="preserve">Wikipedia	</v>
      <v xml:space="preserve">CC-BY-SA	</v>
      <v xml:space="preserve">http://en.wikipedia.org/wiki/United_States	</v>
      <v xml:space="preserve">http://creativecommons.org/licenses/by-sa/3.0/	</v>
    </spb>
    <spb s="0">
      <v xml:space="preserve">Wikipedia	US Census	Cia	</v>
      <v xml:space="preserve">CC-BY-SA			</v>
      <v xml:space="preserve">http://en.wikipedia.org/wiki/United_States	https://www.census.gov/popest/data/state/asrh/2014/files/SC-EST2014-AGESEX-CIV.csv	https://www.cia.gov/library/publications/the-world-factbook/geos/us.html?Transportation	</v>
      <v xml:space="preserve">http://creativecommons.org/licenses/by-sa/3.0/			</v>
    </spb>
    <spb s="0">
      <v xml:space="preserve">Wikipedia	US Census	US Census	Sec	</v>
      <v xml:space="preserve">CC-BY-SA				</v>
      <v xml:space="preserve">http://en.wikipedia.org/wiki/United_States	https://www.census.gov/popest/data/state/asrh/2014/files/SC-EST2014-AGESEX-CIV.csv	http://www.census.gov/quickfacts/table/VET605214/	https://www.sec.gov/cgi-bin/browse-edgar?action=getcompany&amp;CIK=0001599637	</v>
      <v xml:space="preserve">http://creativecommons.org/licenses/by-sa/3.0/				</v>
    </spb>
    <spb s="0">
      <v xml:space="preserve">US Census	</v>
      <v xml:space="preserve">	</v>
      <v xml:space="preserve">https://www.census.gov/popest/data/state/asrh/2014/files/SC-EST2014-AGESEX-CIV.csv	</v>
      <v xml:space="preserve">	</v>
    </spb>
    <spb s="0">
      <v xml:space="preserve">data.worldbank.org	</v>
      <v xml:space="preserve">	</v>
      <v xml:space="preserve">http://data.worldbank.org/indicator/SP.DYN.TFRT.IN	</v>
      <v xml:space="preserve">	</v>
    </spb>
    <spb s="0">
      <v xml:space="preserve">Wikipedia	US Census	US Census	</v>
      <v xml:space="preserve">CC-BY-SA			</v>
      <v xml:space="preserve">http://en.wikipedia.org/wiki/United_States	https://www.census.gov/popest/data/state/asrh/2014/files/SC-EST2014-AGESEX-CIV.csv	http://www.census.gov/quickfacts/table/VET605214/	</v>
      <v xml:space="preserve">http://creativecommons.org/licenses/by-sa/3.0/			</v>
    </spb>
    <spb s="0">
      <v xml:space="preserve">data.worldbank.org	</v>
      <v xml:space="preserve">	</v>
      <v xml:space="preserve">http://data.worldbank.org/indicator/SP.DYN.LE00.IN	</v>
      <v xml:space="preserve">	</v>
    </spb>
    <spb s="0">
      <v xml:space="preserve">Wikipedia	Wikidata	</v>
      <v xml:space="preserve">CC-BY-SA		</v>
      <v xml:space="preserve">http://en.wikipedia.org/wiki/United_States	https://www.wikidata.org/wiki/Q30	</v>
      <v xml:space="preserve">http://creativecommons.org/licenses/by-sa/3.0/		</v>
    </spb>
    <spb s="0">
      <v xml:space="preserve">data.worldbank.org	</v>
      <v xml:space="preserve">	</v>
      <v xml:space="preserve">http://data.worldbank.org/indicator/SP.DYN.IMRT.IN	</v>
      <v xml:space="preserve">	</v>
    </spb>
    <spb s="0">
      <v xml:space="preserve">data.worldbank.org	</v>
      <v xml:space="preserve">	</v>
      <v xml:space="preserve">http://data.worldbank.org/indicator/SP.URB.TOTL	</v>
      <v xml:space="preserve">	</v>
    </spb>
    <spb s="0">
      <v xml:space="preserve">data.worldbank.org	</v>
      <v xml:space="preserve">	</v>
      <v xml:space="preserve">http://data.worldbank.org/indicator/MS.MIL.TOTL.P1	</v>
      <v xml:space="preserve">	</v>
    </spb>
    <spb s="0">
      <v xml:space="preserve">Wikipedia	US Census	Cia	US Census	Sec	</v>
      <v xml:space="preserve">CC-BY-SA					</v>
      <v xml:space="preserve">http://en.wikipedia.org/wiki/United_States	https://www.census.gov/popest/data/state/asrh/2014/files/SC-EST2014-AGESEX-CIV.csv	https://www.cia.gov/library/publications/the-world-factbook/geos/us.html?Transportation	http://www.census.gov/quickfacts/table/VET605214/	https://www.sec.gov/cgi-bin/browse-edgar?action=getcompany&amp;CIK=0001599637	</v>
      <v xml:space="preserve">http://creativecommons.org/licenses/by-sa/3.0/					</v>
    </spb>
    <spb s="0">
      <v xml:space="preserve">data.worldbank.org	</v>
      <v xml:space="preserve">	</v>
      <v xml:space="preserve">http://data.worldbank.org/indicator/SH.MED.PHYS.ZS	</v>
      <v xml:space="preserve">	</v>
    </spb>
    <spb s="0">
      <v xml:space="preserve">data.worldbank.org	</v>
      <v xml:space="preserve">	</v>
      <v xml:space="preserve">http://data.worldbank.org/indicator/EN.ATM.CO2E.KT	</v>
      <v xml:space="preserve">	</v>
    </spb>
    <spb s="0">
      <v xml:space="preserve">data.worldbank.org	</v>
      <v xml:space="preserve">	</v>
      <v xml:space="preserve">http://data.worldbank.org/indicator/SH.STA.MMRT	</v>
      <v xml:space="preserve">	</v>
    </spb>
    <spb s="0">
      <v xml:space="preserve">data.worldbank.org	</v>
      <v xml:space="preserve">	</v>
      <v xml:space="preserve">http://data.worldbank.org/indicator/EG.USE.ELEC.KH.PC	</v>
      <v xml:space="preserve">	</v>
    </spb>
    <spb s="0">
      <v xml:space="preserve">data.worldbank.org	</v>
      <v xml:space="preserve">	</v>
      <v xml:space="preserve">http://data.worldbank.org/indicator/SL.TLF.CACT.ZS	</v>
      <v xml:space="preserve">	</v>
    </spb>
    <spb s="1">
      <v>0</v>
      <v>1</v>
      <v>2</v>
      <v>3</v>
      <v>4</v>
      <v>5</v>
      <v>3</v>
      <v>6</v>
      <v>6</v>
      <v>7</v>
      <v>8</v>
      <v>6</v>
      <v>6</v>
      <v>9</v>
      <v>10</v>
      <v>11</v>
      <v>9</v>
      <v>12</v>
      <v>13</v>
      <v>9</v>
      <v>14</v>
      <v>15</v>
      <v>16</v>
      <v>9</v>
      <v>17</v>
      <v>9</v>
      <v>18</v>
      <v>19</v>
      <v>20</v>
      <v>21</v>
      <v>9</v>
      <v>11</v>
      <v>9</v>
      <v>9</v>
      <v>9</v>
      <v>9</v>
      <v>9</v>
      <v>9</v>
      <v>9</v>
      <v>9</v>
      <v>9</v>
      <v>9</v>
      <v>22</v>
    </spb>
    <spb s="2">
      <v>0</v>
      <v>Name</v>
      <v>LearnMoreOnLink</v>
    </spb>
    <spb s="3">
      <v>0</v>
      <v>0</v>
      <v>0</v>
    </spb>
    <spb s="4">
      <v>0</v>
      <v>0</v>
    </spb>
    <spb s="5">
      <v>25</v>
      <v>25</v>
      <v>26</v>
      <v>25</v>
    </spb>
    <spb s="6">
      <v>1</v>
      <v>2</v>
      <v>3</v>
      <v>4</v>
    </spb>
    <spb s="7">
      <v>https://www.bing.com</v>
      <v>https://www.bing.com/th?id=Ga%5Cbing_yt.png&amp;w=100&amp;h=40&amp;c=0&amp;pid=0.1</v>
      <v>Powered by Bing</v>
    </spb>
    <spb s="8">
      <v>2019</v>
      <v>2021</v>
      <v>square km</v>
      <v>per thousand (2018)</v>
      <v>2019</v>
      <v>2019</v>
      <v>2018</v>
      <v>per liter (2016)</v>
      <v>2019</v>
      <v>years (2018)</v>
      <v>2019</v>
      <v>per thousand (2018)</v>
      <v>2019</v>
      <v>2017</v>
      <v>2016</v>
      <v>2020</v>
      <v>2016</v>
      <v>2017</v>
      <v>kilotons per year (2016)</v>
      <v>deaths per 100,000 (2017)</v>
      <v>kWh (2014)</v>
      <v>2015</v>
      <v>2018</v>
      <v>2016</v>
      <v>2016</v>
      <v>2016</v>
      <v>2016</v>
      <v>2016</v>
      <v>2015</v>
      <v>2016</v>
      <v>2016</v>
      <v>2017</v>
      <v>2017</v>
      <v>2019</v>
    </spb>
    <spb s="9">
      <v>5</v>
    </spb>
    <spb s="9">
      <v>6</v>
    </spb>
    <spb s="9">
      <v>7</v>
    </spb>
    <spb s="9">
      <v>8</v>
    </spb>
    <spb s="9">
      <v>9</v>
    </spb>
    <spb s="9">
      <v>10</v>
    </spb>
    <spb s="9">
      <v>11</v>
    </spb>
    <spb s="9">
      <v>12</v>
    </spb>
    <spb s="0">
      <v xml:space="preserve">Wikipedia	</v>
      <v xml:space="preserve">Public domain	</v>
      <v xml:space="preserve">http://en.wikipedia.org/wiki/United_States	</v>
      <v xml:space="preserve">http://en.wikipedia.org/wiki/Public_domain	</v>
    </spb>
    <spb s="9">
      <v>13</v>
    </spb>
    <spb s="10">
      <v>1</v>
      <v>Name</v>
    </spb>
    <spb s="11">
      <v>25</v>
      <v>25</v>
    </spb>
    <spb s="12">
      <v>14</v>
      <v>14</v>
      <v>1</v>
      <v>14</v>
      <v>14</v>
      <v>14</v>
      <v>13</v>
      <v>14</v>
      <v>14</v>
      <v>14</v>
      <v>15</v>
      <v>4</v>
      <v>7</v>
    </spb>
    <spb s="13">
      <v>GMT</v>
    </spb>
    <spb s="0">
      <v xml:space="preserve">Wikipedia	Cia	travel.state.gov	</v>
      <v xml:space="preserve">CC-BY-SA			</v>
      <v xml:space="preserve">http://en.wikipedia.org/wiki/Australia	https://www.cia.gov/library/publications/the-world-factbook/geos/as.html?Transportation	https://travel.state.gov/content/travel/en/international-travel/International-Travel-Country-Information-Pages/Australia.html	</v>
      <v xml:space="preserve">http://creativecommons.org/licenses/by-sa/3.0/			</v>
    </spb>
    <spb s="0">
      <v xml:space="preserve">Wikipedia	Cia	</v>
      <v xml:space="preserve">CC-BY-SA		</v>
      <v xml:space="preserve">http://es.wikipedia.org/wiki/Australia	https://www.cia.gov/library/publications/the-world-factbook/geos/as.html?Transportation	</v>
      <v xml:space="preserve">http://creativecommons.org/licenses/by-sa/3.0/		</v>
    </spb>
    <spb s="0">
      <v xml:space="preserve">Wikipedia	Wikipedia	Cia	travel.state.gov	dva.gov.au	Sec	Tasteatlas	</v>
      <v xml:space="preserve">CC-BY-SA	CC-BY-SA						</v>
      <v xml:space="preserve">http://en.wikipedia.org/wiki/Australia	https://en.wikipedia.org/wiki/Australia	https://www.cia.gov/library/publications/the-world-factbook/geos/as.html?Transportation	https://travel.state.gov/content/travel/en/international-travel/International-Travel-Country-Information-Pages/Australia.html	https://www.dva.gov.au/sites/default/files/files/publications/datastatistical/execsum/execsumm_jun2018.xlsx	https://www.sec.gov/cgi-bin/browse-edgar?action=getcompany&amp;CIK=0001844830	https://www.tasteatlas.com/australia	</v>
      <v xml:space="preserve">http://creativecommons.org/licenses/by-sa/3.0/	http://creativecommons.org/licenses/by-sa/3.0/						</v>
    </spb>
    <spb s="0">
      <v xml:space="preserve">Wikipedia	</v>
      <v xml:space="preserve">CC-BY-SA	</v>
      <v xml:space="preserve">http://en.wikipedia.org/wiki/Australia	</v>
      <v xml:space="preserve">http://creativecommons.org/licenses/by-sa/3.0/	</v>
    </spb>
    <spb s="0">
      <v xml:space="preserve">Wikipedia	Cia	</v>
      <v xml:space="preserve">CC-BY-SA		</v>
      <v xml:space="preserve">http://en.wikipedia.org/wiki/Australia	https://www.cia.gov/library/publications/the-world-factbook/geos/as.html?Transportation	</v>
      <v xml:space="preserve">http://creativecommons.org/licenses/by-sa/3.0/		</v>
    </spb>
    <spb s="0">
      <v xml:space="preserve">Cia	</v>
      <v xml:space="preserve">	</v>
      <v xml:space="preserve">https://www.cia.gov/library/publications/the-world-factbook/geos/as.html?Transportation	</v>
      <v xml:space="preserve">	</v>
    </spb>
    <spb s="0">
      <v xml:space="preserve">Wikipedia	Wikidata	</v>
      <v xml:space="preserve">CC-BY-SA		</v>
      <v xml:space="preserve">http://en.wikipedia.org/wiki/Australia	https://www.wikidata.org/wiki/Q30920289	</v>
      <v xml:space="preserve">http://creativecommons.org/licenses/by-sa/3.0/		</v>
    </spb>
    <spb s="0">
      <v xml:space="preserve">Wikipedia	Wikipedia	Wikipedia	Cia	travel.state.gov	</v>
      <v xml:space="preserve">CC-BY-SA	CC-BY-SA	CC-BY-SA			</v>
      <v xml:space="preserve">http://en.wikipedia.org/wiki/Australia	https://en.wikipedia.org/wiki/Australia	http://fr.wikipedia.org/wiki/Australie	https://www.cia.gov/library/publications/the-world-factbook/geos/as.html?Transportation	https://travel.state.gov/content/travel/en/international-travel/International-Travel-Country-Information-Pages/Australia.html	</v>
      <v xml:space="preserve">http://creativecommons.org/licenses/by-sa/3.0/	http://creativecommons.org/licenses/by-sa/3.0/	http://creativecommons.org/licenses/by-sa/3.0/			</v>
    </spb>
    <spb s="14">
      <v>0</v>
      <v>45</v>
      <v>46</v>
      <v>47</v>
      <v>4</v>
      <v>5</v>
      <v>47</v>
      <v>48</v>
      <v>48</v>
      <v>49</v>
      <v>48</v>
      <v>48</v>
      <v>50</v>
      <v>10</v>
      <v>45</v>
      <v>50</v>
      <v>12</v>
      <v>51</v>
      <v>50</v>
      <v>14</v>
      <v>15</v>
      <v>16</v>
      <v>50</v>
      <v>50</v>
      <v>52</v>
      <v>50</v>
      <v>18</v>
      <v>19</v>
      <v>20</v>
      <v>21</v>
      <v>50</v>
      <v>45</v>
      <v>50</v>
      <v>50</v>
      <v>50</v>
      <v>50</v>
      <v>50</v>
      <v>50</v>
      <v>50</v>
      <v>50</v>
      <v>50</v>
      <v>50</v>
      <v>22</v>
    </spb>
    <spb s="8">
      <v>2019</v>
      <v>2019</v>
      <v>square km</v>
      <v>per thousand (2018)</v>
      <v>2019</v>
      <v>2019</v>
      <v>2018</v>
      <v>per liter (2016)</v>
      <v>2019</v>
      <v>years (2018)</v>
      <v>2018</v>
      <v>per thousand (2018)</v>
      <v>2019</v>
      <v>2017</v>
      <v>2016</v>
      <v>2019</v>
      <v>2016</v>
      <v>2017</v>
      <v>kilotons per year (2016)</v>
      <v>deaths per 100,000 (2017)</v>
      <v>kWh (2014)</v>
      <v>2015</v>
      <v>2019</v>
      <v>2014</v>
      <v>2014</v>
      <v>2014</v>
      <v>2014</v>
      <v>2014</v>
      <v>2014</v>
      <v>2014</v>
      <v>2014</v>
      <v>2017</v>
      <v>2017</v>
      <v>2019</v>
    </spb>
    <spb s="0">
      <v xml:space="preserve">Wikipedia	</v>
      <v xml:space="preserve">Public domain	</v>
      <v xml:space="preserve">http://en.wikipedia.org/wiki/Australia	</v>
      <v xml:space="preserve">http://en.wikipedia.org/wiki/Public_domain	</v>
    </spb>
    <spb s="0">
      <v xml:space="preserve">Wikipedia	Cia	travel.state.gov	</v>
      <v xml:space="preserve">CC-BY-SA			</v>
      <v xml:space="preserve">http://en.wikipedia.org/wiki/Malaysia	https://www.cia.gov/library/publications/the-world-factbook/geos/my.html?Transportation	https://travel.state.gov/content/travel/en/international-travel/International-Travel-Country-Information-Pages/Malaysia.html	</v>
      <v xml:space="preserve">http://creativecommons.org/licenses/by-sa/3.0/			</v>
    </spb>
    <spb s="0">
      <v xml:space="preserve">Wikipedia	Cia	</v>
      <v xml:space="preserve">CC-BY-SA		</v>
      <v xml:space="preserve">http://es.wikipedia.org/wiki/Malasia	https://www.cia.gov/library/publications/the-world-factbook/geos/my.html?Transportation	</v>
      <v xml:space="preserve">http://creativecommons.org/licenses/by-sa/3.0/		</v>
    </spb>
    <spb s="0">
      <v xml:space="preserve">Wikipedia	Cia	Wikipedia	travel.state.gov	Sec	Tasteatlas	</v>
      <v xml:space="preserve">CC-BY-SA		CC-BY-SA				</v>
      <v xml:space="preserve">http://en.wikipedia.org/wiki/Malaysia	https://www.cia.gov/library/publications/the-world-factbook/geos/my.html?Transportation	https://en.wikipedia.org/wiki/Malaysia	https://travel.state.gov/content/travel/en/international-travel/International-Travel-Country-Information-Pages/Malaysia.html	https://www.sec.gov/cgi-bin/browse-edgar?action=getcompany&amp;CIK=0001838293	https://www.tasteatlas.com/malaysia	</v>
      <v xml:space="preserve">http://creativecommons.org/licenses/by-sa/3.0/		http://creativecommons.org/licenses/by-sa/3.0/				</v>
    </spb>
    <spb s="0">
      <v xml:space="preserve">Wikipedia	</v>
      <v xml:space="preserve">CC-BY-SA	</v>
      <v xml:space="preserve">http://en.wikipedia.org/wiki/Malaysia	</v>
      <v xml:space="preserve">http://creativecommons.org/licenses/by-sa/3.0/	</v>
    </spb>
    <spb s="0">
      <v xml:space="preserve">Wikipedia	Cia	</v>
      <v xml:space="preserve">CC-BY-SA		</v>
      <v xml:space="preserve">http://en.wikipedia.org/wiki/Malaysia	https://www.cia.gov/library/publications/the-world-factbook/geos/my.html?Transportation	</v>
      <v xml:space="preserve">http://creativecommons.org/licenses/by-sa/3.0/		</v>
    </spb>
    <spb s="0">
      <v xml:space="preserve">Wikipedia	Wikipedia	Cia	Wikipedia	travel.state.gov	Sec	</v>
      <v xml:space="preserve">CC-BY-SA	CC-BY-SA		CC-BY-SA			</v>
      <v xml:space="preserve">http://en.wikipedia.org/wiki/Malaysia	http://fr.wikipedia.org/wiki/Malaisie	https://www.cia.gov/library/publications/the-world-factbook/geos/my.html?Transportation	https://en.wikipedia.org/wiki/Malaysia	https://travel.state.gov/content/travel/en/international-travel/International-Travel-Country-Information-Pages/Malaysia.html	https://www.sec.gov/cgi-bin/browse-edgar?action=getcompany&amp;CIK=0001838293	</v>
      <v xml:space="preserve">http://creativecommons.org/licenses/by-sa/3.0/	http://creativecommons.org/licenses/by-sa/3.0/		http://creativecommons.org/licenses/by-sa/3.0/			</v>
    </spb>
    <spb s="0">
      <v xml:space="preserve">travel.state.gov	</v>
      <v xml:space="preserve">	</v>
      <v xml:space="preserve">https://travel.state.gov/content/travel/en/international-travel/International-Travel-Country-Information-Pages/Malaysia.html	</v>
      <v xml:space="preserve">	</v>
    </spb>
    <spb s="0">
      <v xml:space="preserve">Cia	</v>
      <v xml:space="preserve">	</v>
      <v xml:space="preserve">https://www.cia.gov/library/publications/the-world-factbook/geos/my.html?Transportation	</v>
      <v xml:space="preserve">	</v>
    </spb>
    <spb s="0">
      <v xml:space="preserve">Wikipedia	Wikidata	</v>
      <v xml:space="preserve">CC-BY-SA		</v>
      <v xml:space="preserve">http://en.wikipedia.org/wiki/Malaysia	https://www.wikidata.org/wiki/Q16575234	</v>
      <v xml:space="preserve">http://creativecommons.org/licenses/by-sa/3.0/		</v>
    </spb>
    <spb s="15">
      <v>0</v>
      <v>56</v>
      <v>57</v>
      <v>58</v>
      <v>4</v>
      <v>5</v>
      <v>58</v>
      <v>59</v>
      <v>59</v>
      <v>60</v>
      <v>61</v>
      <v>59</v>
      <v>59</v>
      <v>62</v>
      <v>63</v>
      <v>10</v>
      <v>56</v>
      <v>63</v>
      <v>12</v>
      <v>64</v>
      <v>63</v>
      <v>14</v>
      <v>15</v>
      <v>16</v>
      <v>63</v>
      <v>63</v>
      <v>61</v>
      <v>63</v>
      <v>18</v>
      <v>19</v>
      <v>20</v>
      <v>21</v>
      <v>63</v>
      <v>56</v>
      <v>63</v>
      <v>63</v>
      <v>63</v>
      <v>63</v>
      <v>63</v>
      <v>63</v>
      <v>63</v>
      <v>63</v>
      <v>63</v>
      <v>63</v>
      <v>22</v>
    </spb>
    <spb s="8">
      <v>2019</v>
      <v>2019</v>
      <v>square km</v>
      <v>per thousand (2018)</v>
      <v>2019</v>
      <v>2019</v>
      <v>2018</v>
      <v>per liter (2016)</v>
      <v>2019</v>
      <v>years (2018)</v>
      <v>2018</v>
      <v>per thousand (2018)</v>
      <v>2019</v>
      <v>2017</v>
      <v>2016</v>
      <v>2019</v>
      <v>2016</v>
      <v>2015</v>
      <v>kilotons per year (2016)</v>
      <v>deaths per 100,000 (2017)</v>
      <v>kWh (2014)</v>
      <v>2014</v>
      <v>2019</v>
      <v>2015</v>
      <v>2015</v>
      <v>2015</v>
      <v>2015</v>
      <v>2015</v>
      <v>2015</v>
      <v>2015</v>
      <v>2015</v>
      <v>2017</v>
      <v>2018</v>
      <v>2019</v>
    </spb>
    <spb s="0">
      <v xml:space="preserve">Wikipedia	</v>
      <v xml:space="preserve">Public domain	</v>
      <v xml:space="preserve">http://en.wikipedia.org/wiki/Malaysia	</v>
      <v xml:space="preserve">http://en.wikipedia.org/wiki/Public_domain	</v>
    </spb>
    <spb s="0">
      <v xml:space="preserve">Wikipedia	Cia	travel.state.gov	</v>
      <v xml:space="preserve">CC-BY-SA			</v>
      <v xml:space="preserve">http://en.wikipedia.org/wiki/Hong_Kong	https://www.cia.gov/library/publications/the-world-factbook/geos/hk.html?Transportation	https://travel.state.gov/content/travel/en/international-travel/International-Travel-Country-Information-Pages/HongKong.html	</v>
      <v xml:space="preserve">http://creativecommons.org/licenses/by-sa/3.0/			</v>
    </spb>
    <spb s="0">
      <v xml:space="preserve">Cia	</v>
      <v xml:space="preserve">	</v>
      <v xml:space="preserve">https://www.cia.gov/library/publications/the-world-factbook/geos/hk.html?Transportation	</v>
      <v xml:space="preserve">	</v>
    </spb>
    <spb s="0">
      <v xml:space="preserve">Wikipedia	Cia	Wikipedia	travel.state.gov	Sec	</v>
      <v xml:space="preserve">CC-BY-SA		CC-BY-SA			</v>
      <v xml:space="preserve">http://en.wikipedia.org/wiki/Hong_Kong	https://www.cia.gov/library/publications/the-world-factbook/geos/hk.html?Transportation	https://en.wikipedia.org/wiki/Hong_Kong	https://travel.state.gov/content/travel/en/international-travel/International-Travel-Country-Information-Pages/HongKong.html	https://www.sec.gov/cgi-bin/browse-edgar?action=getcompany&amp;CIK=0001861346	</v>
      <v xml:space="preserve">http://creativecommons.org/licenses/by-sa/3.0/		http://creativecommons.org/licenses/by-sa/3.0/			</v>
    </spb>
    <spb s="0">
      <v xml:space="preserve">Wikipedia	</v>
      <v xml:space="preserve">CC-BY-SA	</v>
      <v xml:space="preserve">http://en.wikipedia.org/wiki/Hong_Kong	</v>
      <v xml:space="preserve">http://creativecommons.org/licenses/by-sa/3.0/	</v>
    </spb>
    <spb s="0">
      <v xml:space="preserve">Wikipedia	Cia	</v>
      <v xml:space="preserve">CC-BY-SA		</v>
      <v xml:space="preserve">http://en.wikipedia.org/wiki/Hong_Kong	https://www.cia.gov/library/publications/the-world-factbook/geos/hk.html?Transportation	</v>
      <v xml:space="preserve">http://creativecommons.org/licenses/by-sa/3.0/		</v>
    </spb>
    <spb s="0">
      <v xml:space="preserve">travel.state.gov	</v>
      <v xml:space="preserve">	</v>
      <v xml:space="preserve">https://travel.state.gov/content/travel/en/international-travel/International-Travel-Country-Information-Pages/HongKong.html	</v>
      <v xml:space="preserve">	</v>
    </spb>
    <spb s="16">
      <v>0</v>
      <v>68</v>
      <v>69</v>
      <v>70</v>
      <v>4</v>
      <v>5</v>
      <v>70</v>
      <v>71</v>
      <v>71</v>
      <v>72</v>
      <v>71</v>
      <v>73</v>
      <v>69</v>
      <v>10</v>
      <v>68</v>
      <v>69</v>
      <v>12</v>
      <v>71</v>
      <v>15</v>
      <v>69</v>
      <v>71</v>
      <v>69</v>
      <v>18</v>
      <v>19</v>
      <v>21</v>
      <v>69</v>
      <v>68</v>
      <v>69</v>
      <v>69</v>
      <v>22</v>
    </spb>
    <spb s="2">
      <v>2</v>
      <v>Name</v>
      <v>LearnMoreOnLink</v>
    </spb>
    <spb s="17">
      <v>2019</v>
      <v>2019</v>
      <v>square km</v>
      <v>per thousand (2018)</v>
      <v>2019</v>
      <v>2019</v>
      <v>2018</v>
      <v>per liter (2016)</v>
      <v>2019</v>
      <v>years (2018)</v>
      <v>2019</v>
      <v>2019</v>
      <v>2016</v>
      <v>1995</v>
      <v>kilotons per year (2016)</v>
      <v>kWh (2014)</v>
      <v>2014</v>
      <v>2019</v>
      <v>2018</v>
      <v>2018</v>
      <v>2019</v>
    </spb>
    <spb s="0">
      <v xml:space="preserve">Wikipedia	</v>
      <v xml:space="preserve">CC BY-SA 4.0	</v>
      <v xml:space="preserve">http://fr.wikipedia.org/wiki/Hong_Kong	</v>
      <v xml:space="preserve">https://creativecommons.org/licenses/by-sa/4.0	</v>
    </spb>
    <spb s="0">
      <v xml:space="preserve">Wikipedia	Cia	travel.state.gov	</v>
      <v xml:space="preserve">CC-BY-SA			</v>
      <v xml:space="preserve">http://en.wikipedia.org/wiki/Indonesia	https://www.cia.gov/library/publications/the-world-factbook/geos/id.html?Transportation	https://travel.state.gov/content/travel/en/international-travel/International-Travel-Country-Information-Pages/Indonesia.html	</v>
      <v xml:space="preserve">http://creativecommons.org/licenses/by-sa/3.0/			</v>
    </spb>
    <spb s="0">
      <v xml:space="preserve">Wikipedia	Wikipedia	Cia	</v>
      <v xml:space="preserve">CC-BY-SA	CC-BY-SA		</v>
      <v xml:space="preserve">http://en.wikipedia.org/wiki/Indonesia	http://es.wikipedia.org/wiki/Indonesia	https://www.cia.gov/library/publications/the-world-factbook/geos/id.html?Transportation	</v>
      <v xml:space="preserve">http://creativecommons.org/licenses/by-sa/3.0/	http://creativecommons.org/licenses/by-sa/3.0/		</v>
    </spb>
    <spb s="0">
      <v xml:space="preserve">Wikipedia	Cia	Wikipedia	sp2010.bps.go.id	travel.state.gov	Sec	</v>
      <v xml:space="preserve">CC-BY-SA		CC-BY-SA				</v>
      <v xml:space="preserve">http://en.wikipedia.org/wiki/Indonesia	https://www.cia.gov/library/publications/the-world-factbook/geos/id.html?Transportation	https://en.wikipedia.org/wiki/Indonesia	https://sp2010.bps.go.id/index.php/site/tabel?tid=336&amp;wid=0000000000&amp;lang=en	https://travel.state.gov/content/travel/en/international-travel/International-Travel-Country-Information-Pages/Indonesia.html	https://www.sec.gov/cgi-bin/browse-edgar?action=getcompany&amp;CIK=0001798292	</v>
      <v xml:space="preserve">http://creativecommons.org/licenses/by-sa/3.0/		http://creativecommons.org/licenses/by-sa/3.0/				</v>
    </spb>
    <spb s="0">
      <v xml:space="preserve">Wikipedia	</v>
      <v xml:space="preserve">CC-BY-SA	</v>
      <v xml:space="preserve">http://en.wikipedia.org/wiki/Indonesia	</v>
      <v xml:space="preserve">http://creativecommons.org/licenses/by-sa/3.0/	</v>
    </spb>
    <spb s="0">
      <v xml:space="preserve">Wikipedia	Cia	</v>
      <v xml:space="preserve">CC-BY-SA		</v>
      <v xml:space="preserve">http://en.wikipedia.org/wiki/Indonesia	https://www.cia.gov/library/publications/the-world-factbook/geos/id.html?Transportation	</v>
      <v xml:space="preserve">http://creativecommons.org/licenses/by-sa/3.0/		</v>
    </spb>
    <spb s="0">
      <v xml:space="preserve">Wikipedia	travel.state.gov	</v>
      <v xml:space="preserve">CC-BY-SA		</v>
      <v xml:space="preserve">http://en.wikipedia.org/wiki/Indonesia	https://travel.state.gov/content/travel/en/international-travel/International-Travel-Country-Information-Pages/Indonesia.html	</v>
      <v xml:space="preserve">http://creativecommons.org/licenses/by-sa/3.0/		</v>
    </spb>
    <spb s="0">
      <v xml:space="preserve">Cia	</v>
      <v xml:space="preserve">	</v>
      <v xml:space="preserve">https://www.cia.gov/library/publications/the-world-factbook/geos/id.html?Transportation	</v>
      <v xml:space="preserve">	</v>
    </spb>
    <spb s="0">
      <v xml:space="preserve">Wikipedia	Wikidata	</v>
      <v xml:space="preserve">CC-BY-SA		</v>
      <v xml:space="preserve">http://en.wikipedia.org/wiki/Indonesia	https://www.wikidata.org/wiki/Q252	</v>
      <v xml:space="preserve">http://creativecommons.org/licenses/by-sa/3.0/		</v>
    </spb>
    <spb s="0">
      <v xml:space="preserve">Wikipedia	Cia	sp2010.bps.go.id	travel.state.gov	Sec	</v>
      <v xml:space="preserve">CC-BY-SA					</v>
      <v xml:space="preserve">http://en.wikipedia.org/wiki/Indonesia	https://www.cia.gov/library/publications/the-world-factbook/geos/id.html?Transportation	https://sp2010.bps.go.id/index.php/site/tabel?tid=336&amp;wid=0000000000&amp;lang=en	https://travel.state.gov/content/travel/en/international-travel/International-Travel-Country-Information-Pages/Indonesia.html	https://www.sec.gov/cgi-bin/browse-edgar?action=getcompany&amp;CIK=0001798292	</v>
      <v xml:space="preserve">http://creativecommons.org/licenses/by-sa/3.0/					</v>
    </spb>
    <spb s="15">
      <v>0</v>
      <v>78</v>
      <v>79</v>
      <v>80</v>
      <v>4</v>
      <v>81</v>
      <v>80</v>
      <v>81</v>
      <v>81</v>
      <v>82</v>
      <v>81</v>
      <v>81</v>
      <v>81</v>
      <v>83</v>
      <v>84</v>
      <v>10</v>
      <v>78</v>
      <v>84</v>
      <v>12</v>
      <v>85</v>
      <v>84</v>
      <v>14</v>
      <v>15</v>
      <v>16</v>
      <v>84</v>
      <v>84</v>
      <v>86</v>
      <v>84</v>
      <v>18</v>
      <v>19</v>
      <v>20</v>
      <v>21</v>
      <v>84</v>
      <v>78</v>
      <v>84</v>
      <v>84</v>
      <v>84</v>
      <v>84</v>
      <v>84</v>
      <v>84</v>
      <v>84</v>
      <v>84</v>
      <v>84</v>
      <v>84</v>
      <v>22</v>
    </spb>
    <spb s="8">
      <v>2019</v>
      <v>2019</v>
      <v>square km</v>
      <v>per thousand (2018)</v>
      <v>2020</v>
      <v>2019</v>
      <v>2018</v>
      <v>per liter (2016)</v>
      <v>2019</v>
      <v>years (2018)</v>
      <v>2018</v>
      <v>per thousand (2018)</v>
      <v>2019</v>
      <v>2017</v>
      <v>2016</v>
      <v>2019</v>
      <v>2016</v>
      <v>2018</v>
      <v>kilotons per year (2016)</v>
      <v>deaths per 100,000 (2017)</v>
      <v>kWh (2014)</v>
      <v>2014</v>
      <v>2019</v>
      <v>2018</v>
      <v>2018</v>
      <v>2018</v>
      <v>2018</v>
      <v>2018</v>
      <v>2015</v>
      <v>2018</v>
      <v>2018</v>
      <v>2018</v>
      <v>2018</v>
      <v>2019</v>
    </spb>
    <spb s="0">
      <v xml:space="preserve">Wikipedia	</v>
      <v xml:space="preserve">Public domain	</v>
      <v xml:space="preserve">http://en.wikipedia.org/wiki/Indonesia	</v>
      <v xml:space="preserve">http://en.wikipedia.org/wiki/Public_domain	</v>
    </spb>
    <spb s="10">
      <v>3</v>
      <v>Name</v>
    </spb>
    <spb s="18">
      <v>14</v>
      <v>14</v>
      <v>1</v>
      <v>14</v>
      <v>14</v>
      <v>14</v>
      <v>14</v>
      <v>14</v>
      <v>14</v>
      <v>15</v>
      <v>4</v>
      <v>7</v>
    </spb>
    <spb s="0">
      <v xml:space="preserve">Wikipedia	Cia	travel.state.gov	</v>
      <v xml:space="preserve">CC-BY-SA			</v>
      <v xml:space="preserve">http://en.wikipedia.org/wiki/United_Kingdom	https://www.cia.gov/library/publications/the-world-factbook/geos/uk.html?Transportation	https://travel.state.gov/content/travel/en/international-travel/International-Travel-Country-Information-Pages/UnitedKingdom.html?wcmmode=disabled	</v>
      <v xml:space="preserve">http://creativecommons.org/licenses/by-sa/3.0/			</v>
    </spb>
    <spb s="0">
      <v xml:space="preserve">Cia	</v>
      <v xml:space="preserve">	</v>
      <v xml:space="preserve">https://www.cia.gov/library/publications/the-world-factbook/geos/uk.html?Transportation	</v>
      <v xml:space="preserve">	</v>
    </spb>
    <spb s="0">
      <v xml:space="preserve">Wikipedia	Cia	Wikipedia	travel.state.gov	ons.gov.uk	Sec	</v>
      <v xml:space="preserve">CC-BY-SA		CC-BY-SA				</v>
      <v xml:space="preserve">http://en.wikipedia.org/wiki/United_Kingdom	https://www.cia.gov/library/publications/the-world-factbook/geos/uk.html?Transportation	https://en.wikipedia.org/wiki/United_Kingdom	https://travel.state.gov/content/travel/en/international-travel/International-Travel-Country-Information-Pages/UnitedKingdom.html?wcmmode=disabled	https://www.ons.gov.uk/file?uri=/peoplepopulationandcommunity/populationandmigration/populationestimates/datasets/populationestimatesforukenglandandwalesscotlandandnorthernireland/mid2012tomid2016/ukmidyearestimates20122016.xls	https://www.sec.gov/cgi-bin/browse-edgar?action=getcompany&amp;CIK=0001864091	</v>
      <v xml:space="preserve">http://creativecommons.org/licenses/by-sa/3.0/		http://creativecommons.org/licenses/by-sa/3.0/				</v>
    </spb>
    <spb s="0">
      <v xml:space="preserve">Wikipedia	</v>
      <v xml:space="preserve">CC-BY-SA	</v>
      <v xml:space="preserve">http://en.wikipedia.org/wiki/United_Kingdom	</v>
      <v xml:space="preserve">http://creativecommons.org/licenses/by-sa/3.0/	</v>
    </spb>
    <spb s="0">
      <v xml:space="preserve">Wikipedia	Cia	</v>
      <v xml:space="preserve">CC-BY-SA		</v>
      <v xml:space="preserve">http://en.wikipedia.org/wiki/United_Kingdom	https://www.cia.gov/library/publications/the-world-factbook/geos/uk.html?Transportation	</v>
      <v xml:space="preserve">http://creativecommons.org/licenses/by-sa/3.0/		</v>
    </spb>
    <spb s="0">
      <v xml:space="preserve">Wikipedia	Wikipedia	Cia	travel.state.gov	Sec	</v>
      <v xml:space="preserve">CC-BY-SA	CC-BY-SA				</v>
      <v xml:space="preserve">http://en.wikipedia.org/wiki/United_Kingdom	http://fr.wikipedia.org/wiki/Royaume-Uni	https://www.cia.gov/library/publications/the-world-factbook/geos/uk.html?Transportation	https://travel.state.gov/content/travel/en/international-travel/International-Travel-Country-Information-Pages/UnitedKingdom.html?wcmmode=disabled	https://www.sec.gov/cgi-bin/browse-edgar?action=getcompany&amp;CIK=0001864091	</v>
      <v xml:space="preserve">http://creativecommons.org/licenses/by-sa/3.0/	http://creativecommons.org/licenses/by-sa/3.0/				</v>
    </spb>
    <spb s="0">
      <v xml:space="preserve">Wikipedia	Wikidata	</v>
      <v xml:space="preserve">CC-BY-SA		</v>
      <v xml:space="preserve">http://en.wikipedia.org/wiki/United_Kingdom	https://www.wikidata.org/wiki/Q19685030	</v>
      <v xml:space="preserve">http://creativecommons.org/licenses/by-sa/3.0/		</v>
    </spb>
    <spb s="19">
      <v>0</v>
      <v>92</v>
      <v>93</v>
      <v>94</v>
      <v>4</v>
      <v>5</v>
      <v>94</v>
      <v>95</v>
      <v>95</v>
      <v>96</v>
      <v>97</v>
      <v>95</v>
      <v>95</v>
      <v>93</v>
      <v>10</v>
      <v>92</v>
      <v>93</v>
      <v>12</v>
      <v>98</v>
      <v>93</v>
      <v>14</v>
      <v>15</v>
      <v>16</v>
      <v>93</v>
      <v>93</v>
      <v>97</v>
      <v>93</v>
      <v>18</v>
      <v>19</v>
      <v>20</v>
      <v>21</v>
      <v>93</v>
      <v>92</v>
      <v>93</v>
      <v>93</v>
      <v>93</v>
      <v>93</v>
      <v>93</v>
      <v>93</v>
      <v>93</v>
      <v>93</v>
      <v>93</v>
      <v>93</v>
      <v>22</v>
    </spb>
    <spb s="8">
      <v>2019</v>
      <v>2019</v>
      <v>square km</v>
      <v>per thousand (2018)</v>
      <v>2019</v>
      <v>2019</v>
      <v>2018</v>
      <v>per liter (2016)</v>
      <v>2019</v>
      <v>years (2018)</v>
      <v>2018</v>
      <v>per thousand (2018)</v>
      <v>2019</v>
      <v>2017</v>
      <v>2016</v>
      <v>2019</v>
      <v>2016</v>
      <v>2018</v>
      <v>kilotons per year (2016)</v>
      <v>deaths per 100,000 (2017)</v>
      <v>kWh (2014)</v>
      <v>2015</v>
      <v>2008</v>
      <v>2016</v>
      <v>2016</v>
      <v>2016</v>
      <v>2016</v>
      <v>2016</v>
      <v>2015</v>
      <v>2016</v>
      <v>2016</v>
      <v>2017</v>
      <v>2017</v>
      <v>2019</v>
    </spb>
    <spb s="0">
      <v xml:space="preserve">Wikipedia	</v>
      <v xml:space="preserve">Public domain	</v>
      <v xml:space="preserve">http://en.wikipedia.org/wiki/United_Kingdom	</v>
      <v xml:space="preserve">http://en.wikipedia.org/wiki/Public_domain	</v>
    </spb>
    <spb s="0">
      <v xml:space="preserve">Wikipedia	Cia	travel.state.gov	</v>
      <v xml:space="preserve">CC-BY-SA			</v>
      <v xml:space="preserve">http://en.wikipedia.org/wiki/Philippines	https://www.cia.gov/library/publications/the-world-factbook/geos/rp.html?Transportation	https://travel.state.gov/content/travel/en/international-travel/International-Travel-Country-Information-Pages/Philippines.html	</v>
      <v xml:space="preserve">http://creativecommons.org/licenses/by-sa/3.0/			</v>
    </spb>
    <spb s="0">
      <v xml:space="preserve">Wikipedia	Cia	</v>
      <v xml:space="preserve">CC-BY-SA		</v>
      <v xml:space="preserve">http://en.wikipedia.org/wiki/Philippines	https://www.cia.gov/library/publications/the-world-factbook/geos/rp.html?Transportation	</v>
      <v xml:space="preserve">http://creativecommons.org/licenses/by-sa/3.0/		</v>
    </spb>
    <spb s="0">
      <v xml:space="preserve">Wikipedia	Cia	Wikipedia	travel.state.gov	Sec	</v>
      <v xml:space="preserve">CC-BY-SA		CC-BY-SA			</v>
      <v xml:space="preserve">http://en.wikipedia.org/wiki/Philippines	https://www.cia.gov/library/publications/the-world-factbook/geos/rp.html?Transportation	https://en.wikipedia.org/wiki/Philippines	https://travel.state.gov/content/travel/en/international-travel/International-Travel-Country-Information-Pages/Philippines.html	https://www.sec.gov/cgi-bin/browse-edgar?action=getcompany&amp;CIK=0001829200	</v>
      <v xml:space="preserve">http://creativecommons.org/licenses/by-sa/3.0/		http://creativecommons.org/licenses/by-sa/3.0/			</v>
    </spb>
    <spb s="0">
      <v xml:space="preserve">Wikipedia	</v>
      <v xml:space="preserve">CC-BY-SA	</v>
      <v xml:space="preserve">http://en.wikipedia.org/wiki/Philippines	</v>
      <v xml:space="preserve">http://creativecommons.org/licenses/by-sa/3.0/	</v>
    </spb>
    <spb s="0">
      <v xml:space="preserve">Wikipedia	Wikipedia	Cia	travel.state.gov	</v>
      <v xml:space="preserve">CC-BY-SA	CC-BY-SA			</v>
      <v xml:space="preserve">http://en.wikipedia.org/wiki/Philippines	http://fr.wikipedia.org/wiki/Philippines	https://www.cia.gov/library/publications/the-world-factbook/geos/rp.html?Transportation	https://travel.state.gov/content/travel/en/international-travel/International-Travel-Country-Information-Pages/Philippines.html	</v>
      <v xml:space="preserve">http://creativecommons.org/licenses/by-sa/3.0/	http://creativecommons.org/licenses/by-sa/3.0/			</v>
    </spb>
    <spb s="0">
      <v xml:space="preserve">Cia	</v>
      <v xml:space="preserve">	</v>
      <v xml:space="preserve">https://www.cia.gov/library/publications/the-world-factbook/geos/rp.html?Transportation	</v>
      <v xml:space="preserve">	</v>
    </spb>
    <spb s="0">
      <v xml:space="preserve">Wikipedia	Wikidata	</v>
      <v xml:space="preserve">CC-BY-SA		</v>
      <v xml:space="preserve">http://en.wikipedia.org/wiki/Philippines	https://www.wikidata.org/wiki/Q65416167	</v>
      <v xml:space="preserve">http://creativecommons.org/licenses/by-sa/3.0/		</v>
    </spb>
    <spb s="19">
      <v>0</v>
      <v>102</v>
      <v>103</v>
      <v>104</v>
      <v>4</v>
      <v>5</v>
      <v>104</v>
      <v>105</v>
      <v>105</v>
      <v>103</v>
      <v>106</v>
      <v>105</v>
      <v>105</v>
      <v>107</v>
      <v>10</v>
      <v>102</v>
      <v>107</v>
      <v>12</v>
      <v>108</v>
      <v>107</v>
      <v>14</v>
      <v>15</v>
      <v>16</v>
      <v>107</v>
      <v>107</v>
      <v>106</v>
      <v>107</v>
      <v>18</v>
      <v>19</v>
      <v>20</v>
      <v>21</v>
      <v>107</v>
      <v>102</v>
      <v>107</v>
      <v>107</v>
      <v>107</v>
      <v>107</v>
      <v>107</v>
      <v>107</v>
      <v>107</v>
      <v>107</v>
      <v>107</v>
      <v>107</v>
      <v>22</v>
    </spb>
    <spb s="8">
      <v>2019</v>
      <v>2019</v>
      <v>square km</v>
      <v>per thousand (2018)</v>
      <v>2019</v>
      <v>2019</v>
      <v>2018</v>
      <v>per liter (2016)</v>
      <v>2019</v>
      <v>years (2018)</v>
      <v>2018</v>
      <v>per thousand (2018)</v>
      <v>2019</v>
      <v>2017</v>
      <v>2016</v>
      <v>2019</v>
      <v>2016</v>
      <v>2017</v>
      <v>kilotons per year (2016)</v>
      <v>deaths per 100,000 (2017)</v>
      <v>kWh (2014)</v>
      <v>2014</v>
      <v>2019</v>
      <v>2015</v>
      <v>2015</v>
      <v>2015</v>
      <v>2015</v>
      <v>2015</v>
      <v>2015</v>
      <v>2015</v>
      <v>2015</v>
      <v>2017</v>
      <v>2017</v>
      <v>2019</v>
    </spb>
    <spb s="0">
      <v xml:space="preserve">Wikipedia	</v>
      <v xml:space="preserve">Public domain	</v>
      <v xml:space="preserve">http://en.wikipedia.org/wiki/Philippines	</v>
      <v xml:space="preserve">http://en.wikipedia.org/wiki/Public_domain	</v>
    </spb>
    <spb s="0">
      <v xml:space="preserve">Wikipedia	Cia	travel.state.gov	</v>
      <v xml:space="preserve">CC-BY-SA			</v>
      <v xml:space="preserve">http://en.wikipedia.org/wiki/Thailand	https://www.cia.gov/library/publications/the-world-factbook/geos/th.html?Transportation	https://travel.state.gov/content/travel/en/international-travel/International-Travel-Country-Information-Pages/Thailand.html	</v>
      <v xml:space="preserve">http://creativecommons.org/licenses/by-sa/3.0/			</v>
    </spb>
    <spb s="0">
      <v xml:space="preserve">Wikipedia	Cia	</v>
      <v xml:space="preserve">CC-BY-SA		</v>
      <v xml:space="preserve">http://en.wikipedia.org/wiki/Thailand	https://www.cia.gov/library/publications/the-world-factbook/geos/th.html?Transportation	</v>
      <v xml:space="preserve">http://creativecommons.org/licenses/by-sa/3.0/		</v>
    </spb>
    <spb s="0">
      <v xml:space="preserve">Wikipedia	Cia	Wikipedia	travel.state.gov	Sec	Tasteatlas	</v>
      <v xml:space="preserve">CC-BY-SA		CC-BY-SA				</v>
      <v xml:space="preserve">http://en.wikipedia.org/wiki/Thailand	https://www.cia.gov/library/publications/the-world-factbook/geos/th.html?Transportation	https://en.wikipedia.org/wiki/Thailand	https://travel.state.gov/content/travel/en/international-travel/International-Travel-Country-Information-Pages/Thailand.html	https://www.sec.gov/cgi-bin/browse-edgar?action=getcompany&amp;CIK=0001687926	https://www.tasteatlas.com/thailand	</v>
      <v xml:space="preserve">http://creativecommons.org/licenses/by-sa/3.0/		http://creativecommons.org/licenses/by-sa/3.0/				</v>
    </spb>
    <spb s="0">
      <v xml:space="preserve">Wikipedia	</v>
      <v xml:space="preserve">CC-BY-SA	</v>
      <v xml:space="preserve">http://en.wikipedia.org/wiki/Thailand	</v>
      <v xml:space="preserve">http://creativecommons.org/licenses/by-sa/3.0/	</v>
    </spb>
    <spb s="0">
      <v xml:space="preserve">Wikipedia	Cia	travel.state.gov	Sec	</v>
      <v xml:space="preserve">CC-BY-SA				</v>
      <v xml:space="preserve">http://en.wikipedia.org/wiki/Thailand	https://www.cia.gov/library/publications/the-world-factbook/geos/th.html?Transportation	https://travel.state.gov/content/travel/en/international-travel/International-Travel-Country-Information-Pages/Thailand.html	https://www.sec.gov/cgi-bin/browse-edgar?action=getcompany&amp;CIK=0001687926	</v>
      <v xml:space="preserve">http://creativecommons.org/licenses/by-sa/3.0/				</v>
    </spb>
    <spb s="0">
      <v xml:space="preserve">travel.state.gov	</v>
      <v xml:space="preserve">	</v>
      <v xml:space="preserve">https://travel.state.gov/content/travel/en/international-travel/International-Travel-Country-Information-Pages/Thailand.html	</v>
      <v xml:space="preserve">	</v>
    </spb>
    <spb s="0">
      <v xml:space="preserve">Cia	</v>
      <v xml:space="preserve">	</v>
      <v xml:space="preserve">https://www.cia.gov/library/publications/the-world-factbook/geos/th.html?Transportation	</v>
      <v xml:space="preserve">	</v>
    </spb>
    <spb s="15">
      <v>0</v>
      <v>112</v>
      <v>113</v>
      <v>114</v>
      <v>4</v>
      <v>5</v>
      <v>114</v>
      <v>115</v>
      <v>115</v>
      <v>113</v>
      <v>116</v>
      <v>115</v>
      <v>115</v>
      <v>117</v>
      <v>118</v>
      <v>10</v>
      <v>112</v>
      <v>118</v>
      <v>12</v>
      <v>115</v>
      <v>118</v>
      <v>14</v>
      <v>15</v>
      <v>16</v>
      <v>118</v>
      <v>118</v>
      <v>116</v>
      <v>118</v>
      <v>18</v>
      <v>19</v>
      <v>20</v>
      <v>21</v>
      <v>118</v>
      <v>112</v>
      <v>118</v>
      <v>118</v>
      <v>118</v>
      <v>118</v>
      <v>118</v>
      <v>118</v>
      <v>118</v>
      <v>118</v>
      <v>118</v>
      <v>118</v>
      <v>22</v>
    </spb>
    <spb s="8">
      <v>2019</v>
      <v>2019</v>
      <v>square km</v>
      <v>per thousand (2018)</v>
      <v>2019</v>
      <v>2019</v>
      <v>2018</v>
      <v>per liter (2016)</v>
      <v>2019</v>
      <v>years (2018)</v>
      <v>2018</v>
      <v>per thousand (2018)</v>
      <v>2019</v>
      <v>2017</v>
      <v>2016</v>
      <v>2019</v>
      <v>2016</v>
      <v>2018</v>
      <v>kilotons per year (2016)</v>
      <v>deaths per 100,000 (2017)</v>
      <v>kWh (2014)</v>
      <v>2014</v>
      <v>2019</v>
      <v>2018</v>
      <v>2018</v>
      <v>2018</v>
      <v>2018</v>
      <v>2018</v>
      <v>2015</v>
      <v>2018</v>
      <v>2018</v>
      <v>2018</v>
      <v>2016</v>
      <v>2019</v>
    </spb>
    <spb s="0">
      <v xml:space="preserve">Wikipedia	</v>
      <v xml:space="preserve">Public domain	</v>
      <v xml:space="preserve">http://en.wikipedia.org/wiki/Thailand	</v>
      <v xml:space="preserve">http://en.wikipedia.org/wiki/Public_domain	</v>
    </spb>
    <spb s="0">
      <v xml:space="preserve">Wikipedia	Cia	travel.state.gov	</v>
      <v xml:space="preserve">CC-BY-SA			</v>
      <v xml:space="preserve">http://en.wikipedia.org/wiki/Singapore	https://www.cia.gov/library/publications/the-world-factbook/geos/sn.html?Transportation	https://travel.state.gov/content/travel/en/international-travel/International-Travel-Country-Information-Pages/Singapore.html	</v>
      <v xml:space="preserve">http://creativecommons.org/licenses/by-sa/3.0/			</v>
    </spb>
    <spb s="0">
      <v xml:space="preserve">Wikipedia	</v>
      <v xml:space="preserve">CC-BY-SA	</v>
      <v xml:space="preserve">http://en.wikipedia.org/wiki/Singapore	</v>
      <v xml:space="preserve">http://creativecommons.org/licenses/by-sa/3.0/	</v>
    </spb>
    <spb s="0">
      <v xml:space="preserve">Wikipedia	Cia	Wikipedia	travel.state.gov	Sec	</v>
      <v xml:space="preserve">CC-BY-SA		CC-BY-SA			</v>
      <v xml:space="preserve">http://en.wikipedia.org/wiki/Singapore	https://www.cia.gov/library/publications/the-world-factbook/geos/sn.html?Transportation	https://en.wikipedia.org/wiki/Singapore	https://travel.state.gov/content/travel/en/international-travel/International-Travel-Country-Information-Pages/Singapore.html	https://www.sec.gov/cgi-bin/browse-edgar?action=getcompany&amp;CIK=0001841538	</v>
      <v xml:space="preserve">http://creativecommons.org/licenses/by-sa/3.0/		http://creativecommons.org/licenses/by-sa/3.0/			</v>
    </spb>
    <spb s="0">
      <v xml:space="preserve">Wikipedia	Cia	</v>
      <v xml:space="preserve">CC-BY-SA		</v>
      <v xml:space="preserve">http://en.wikipedia.org/wiki/Singapore	https://www.cia.gov/library/publications/the-world-factbook/geos/sn.html?Transportation	</v>
      <v xml:space="preserve">http://creativecommons.org/licenses/by-sa/3.0/		</v>
    </spb>
    <spb s="0">
      <v xml:space="preserve">Wikipedia	travel.state.gov	</v>
      <v xml:space="preserve">CC-BY-SA		</v>
      <v xml:space="preserve">http://en.wikipedia.org/wiki/Singapore	https://travel.state.gov/content/travel/en/international-travel/International-Travel-Country-Information-Pages/Singapore.html	</v>
      <v xml:space="preserve">http://creativecommons.org/licenses/by-sa/3.0/		</v>
    </spb>
    <spb s="0">
      <v xml:space="preserve">Cia	</v>
      <v xml:space="preserve">	</v>
      <v xml:space="preserve">https://www.cia.gov/library/publications/the-world-factbook/geos/sn.html?Transportation	</v>
      <v xml:space="preserve">	</v>
    </spb>
    <spb s="0">
      <v xml:space="preserve">Wikipedia	Wikidata	</v>
      <v xml:space="preserve">CC-BY-SA		</v>
      <v xml:space="preserve">http://en.wikipedia.org/wiki/Singapore	https://www.wikidata.org/wiki/Q28419315	</v>
      <v xml:space="preserve">http://creativecommons.org/licenses/by-sa/3.0/		</v>
    </spb>
    <spb s="20">
      <v>0</v>
      <v>122</v>
      <v>123</v>
      <v>124</v>
      <v>4</v>
      <v>5</v>
      <v>124</v>
      <v>123</v>
      <v>123</v>
      <v>125</v>
      <v>123</v>
      <v>126</v>
      <v>127</v>
      <v>10</v>
      <v>122</v>
      <v>127</v>
      <v>12</v>
      <v>128</v>
      <v>127</v>
      <v>14</v>
      <v>15</v>
      <v>16</v>
      <v>127</v>
      <v>127</v>
      <v>123</v>
      <v>127</v>
      <v>18</v>
      <v>19</v>
      <v>20</v>
      <v>21</v>
      <v>127</v>
      <v>122</v>
      <v>127</v>
      <v>127</v>
      <v>127</v>
      <v>22</v>
    </spb>
    <spb s="2">
      <v>4</v>
      <v>Name</v>
      <v>LearnMoreOnLink</v>
    </spb>
    <spb s="21">
      <v>2019</v>
      <v>2019</v>
      <v>square km</v>
      <v>per thousand (2018)</v>
      <v>2019</v>
      <v>2019</v>
      <v>2018</v>
      <v>per liter (2016)</v>
      <v>2019</v>
      <v>years (2018)</v>
      <v>2018</v>
      <v>per thousand (2018)</v>
      <v>2019</v>
      <v>2017</v>
      <v>2016</v>
      <v>2019</v>
      <v>2016</v>
      <v>2016</v>
      <v>kilotons per year (2016)</v>
      <v>deaths per 100,000 (2017)</v>
      <v>kWh (2014)</v>
      <v>2014</v>
      <v>2019</v>
      <v>2015</v>
      <v>2017</v>
      <v>2017</v>
      <v>2019</v>
    </spb>
    <spb s="0">
      <v xml:space="preserve">Wikipedia	</v>
      <v xml:space="preserve">Public domain	</v>
      <v xml:space="preserve">http://en.wikipedia.org/wiki/Singapore	</v>
      <v xml:space="preserve">http://en.wikipedia.org/wiki/Public_domain	</v>
    </spb>
    <spb s="0">
      <v xml:space="preserve">Wikipedia	Cia	travel.state.gov	</v>
      <v xml:space="preserve">CC-BY-SA			</v>
      <v xml:space="preserve">http://en.wikipedia.org/wiki/China	https://www.cia.gov/library/publications/the-world-factbook/geos/ch.html?Transportation	https://travel.state.gov/content/travel/en/international-travel/International-Travel-Country-Information-Pages/China.html	</v>
      <v xml:space="preserve">http://creativecommons.org/licenses/by-sa/3.0/			</v>
    </spb>
    <spb s="0">
      <v xml:space="preserve">Cia	</v>
      <v xml:space="preserve">	</v>
      <v xml:space="preserve">https://www.cia.gov/library/publications/the-world-factbook/geos/ch.html?Transportation	</v>
      <v xml:space="preserve">	</v>
    </spb>
    <spb s="0">
      <v xml:space="preserve">Wikipedia	Wikipedia	Wikidata	Cia	travel.state.gov	Sec	</v>
      <v xml:space="preserve">CC-BY-SA	CC-BY-SA					</v>
      <v xml:space="preserve">http://en.wikipedia.org/wiki/China	https://en.wikipedia.org/wiki/China	https://www.wikidata.org/wiki/Q29520	https://www.cia.gov/library/publications/the-world-factbook/geos/ch.html?Transportation	https://travel.state.gov/content/travel/en/international-travel/International-Travel-Country-Information-Pages/China.html	https://www.sec.gov/cgi-bin/browse-edgar?action=getcompany&amp;CIK=0001854339	</v>
      <v xml:space="preserve">http://creativecommons.org/licenses/by-sa/3.0/	http://creativecommons.org/licenses/by-sa/3.0/					</v>
    </spb>
    <spb s="0">
      <v xml:space="preserve">Wikipedia	</v>
      <v xml:space="preserve">CC-BY-SA	</v>
      <v xml:space="preserve">http://en.wikipedia.org/wiki/China	</v>
      <v xml:space="preserve">http://creativecommons.org/licenses/by-sa/3.0/	</v>
    </spb>
    <spb s="0">
      <v xml:space="preserve">Wikipedia	Cia	</v>
      <v xml:space="preserve">CC-BY-SA		</v>
      <v xml:space="preserve">http://en.wikipedia.org/wiki/China	https://www.cia.gov/library/publications/the-world-factbook/geos/ch.html?Transportation	</v>
      <v xml:space="preserve">http://creativecommons.org/licenses/by-sa/3.0/		</v>
    </spb>
    <spb s="0">
      <v xml:space="preserve">Wikipedia	Wikipedia	travel.state.gov	Sec	</v>
      <v xml:space="preserve">CC-BY-SA	CC-BY-SA			</v>
      <v xml:space="preserve">http://en.wikipedia.org/wiki/China	https://en.wikipedia.org/wiki/China	https://travel.state.gov/content/travel/en/international-travel/International-Travel-Country-Information-Pages/China.html	https://www.sec.gov/cgi-bin/browse-edgar?action=getcompany&amp;CIK=0001854339	</v>
      <v xml:space="preserve">http://creativecommons.org/licenses/by-sa/3.0/	http://creativecommons.org/licenses/by-sa/3.0/			</v>
    </spb>
    <spb s="0">
      <v xml:space="preserve">travel.state.gov	</v>
      <v xml:space="preserve">	</v>
      <v xml:space="preserve">https://travel.state.gov/content/travel/en/international-travel/International-Travel-Country-Information-Pages/China.html	</v>
      <v xml:space="preserve">	</v>
    </spb>
    <spb s="0">
      <v xml:space="preserve">Wikipedia	Cia	travel.state.gov	Sec	</v>
      <v xml:space="preserve">CC-BY-SA				</v>
      <v xml:space="preserve">http://en.wikipedia.org/wiki/China	https://www.cia.gov/library/publications/the-world-factbook/geos/ch.html?Transportation	https://travel.state.gov/content/travel/en/international-travel/International-Travel-Country-Information-Pages/China.html	https://www.sec.gov/cgi-bin/browse-edgar?action=getcompany&amp;CIK=0001854339	</v>
      <v xml:space="preserve">http://creativecommons.org/licenses/by-sa/3.0/				</v>
    </spb>
    <spb s="22">
      <v>0</v>
      <v>133</v>
      <v>134</v>
      <v>135</v>
      <v>4</v>
      <v>5</v>
      <v>135</v>
      <v>136</v>
      <v>136</v>
      <v>137</v>
      <v>138</v>
      <v>136</v>
      <v>136</v>
      <v>139</v>
      <v>134</v>
      <v>10</v>
      <v>133</v>
      <v>134</v>
      <v>136</v>
      <v>134</v>
      <v>14</v>
      <v>15</v>
      <v>16</v>
      <v>134</v>
      <v>134</v>
      <v>140</v>
      <v>134</v>
      <v>18</v>
      <v>19</v>
      <v>20</v>
      <v>21</v>
      <v>134</v>
      <v>133</v>
      <v>134</v>
      <v>134</v>
      <v>134</v>
      <v>134</v>
      <v>134</v>
      <v>134</v>
      <v>134</v>
      <v>134</v>
      <v>134</v>
      <v>134</v>
      <v>22</v>
    </spb>
    <spb s="8">
      <v>2019</v>
      <v>2019</v>
      <v>square km</v>
      <v>per thousand (2018)</v>
      <v>2019</v>
      <v>2019</v>
      <v>2018</v>
      <v>per liter (2016)</v>
      <v>2019</v>
      <v>years (2020)</v>
      <v>2017</v>
      <v>per thousand (2018)</v>
      <v>2019</v>
      <v>2017</v>
      <v>2016</v>
      <v>2019</v>
      <v>2016</v>
      <v>2017</v>
      <v>kilotons per year (2016)</v>
      <v>deaths per 100,000 (2017)</v>
      <v>kWh (2014)</v>
      <v>2014</v>
      <v>2019</v>
      <v>2016</v>
      <v>2016</v>
      <v>2016</v>
      <v>2016</v>
      <v>2016</v>
      <v>2015</v>
      <v>2016</v>
      <v>2016</v>
      <v>2018</v>
      <v>2018</v>
      <v>2019</v>
    </spb>
    <spb s="0">
      <v xml:space="preserve">Wikipedia	</v>
      <v xml:space="preserve">Public domain	</v>
      <v xml:space="preserve">http://en.wikipedia.org/wiki/China	</v>
      <v xml:space="preserve">http://en.wikipedia.org/wiki/Public_domain	</v>
    </spb>
    <spb s="0">
      <v xml:space="preserve">Wikipedia	</v>
      <v xml:space="preserve">CC-BY-SA	</v>
      <v xml:space="preserve">http://en.wikipedia.org/wiki/Shanghai	</v>
      <v xml:space="preserve">http://creativecommons.org/licenses/by-sa/3.0/	</v>
    </spb>
    <spb s="0">
      <v xml:space="preserve">Wikipedia	Wikipedia	Sec	</v>
      <v xml:space="preserve">CC-BY-SA	CC-BY-SA		</v>
      <v xml:space="preserve">http://en.wikipedia.org/wiki/Shanghai	https://en.wikipedia.org/wiki/Shanghai	https://www.sec.gov/cgi-bin/browse-edgar?action=getcompany&amp;CIK=0001851078	</v>
      <v xml:space="preserve">http://creativecommons.org/licenses/by-sa/3.0/	http://creativecommons.org/licenses/by-sa/3.0/		</v>
    </spb>
    <spb s="0">
      <v xml:space="preserve">Wikipedia	Wikidata	Wikipedia	Sec	</v>
      <v xml:space="preserve">CC-BY-SA		CC-BY-SA		</v>
      <v xml:space="preserve">http://en.wikipedia.org/wiki/Shanghai	https://www.wikidata.org/wiki/Q47004418	https://en.wikipedia.org/wiki/Shanghai	https://www.sec.gov/cgi-bin/browse-edgar?action=getcompany&amp;CIK=0001851078	</v>
      <v xml:space="preserve">http://creativecommons.org/licenses/by-sa/3.0/		http://creativecommons.org/licenses/by-sa/3.0/		</v>
    </spb>
    <spb s="23">
      <v>144</v>
      <v>145</v>
      <v>144</v>
      <v>145</v>
      <v>144</v>
      <v>144</v>
      <v>146</v>
    </spb>
    <spb s="2">
      <v>5</v>
      <v>Name</v>
      <v>LearnMoreOnLink</v>
    </spb>
    <spb s="24">
      <v>square km</v>
      <v>2020</v>
    </spb>
    <spb s="0">
      <v xml:space="preserve">Wikipedia	</v>
      <v xml:space="preserve">CC0	</v>
      <v xml:space="preserve">http://fr.wikipedia.org/wiki/Shanghai	</v>
      <v xml:space="preserve">http://creativecommons.org/publicdomain/zero/1.0/deed.en	</v>
    </spb>
    <spb s="0">
      <v xml:space="preserve">Wikipedia	</v>
      <v xml:space="preserve">CC-BY-SA	</v>
      <v xml:space="preserve">http://en.wikipedia.org/wiki/Shenzhen	</v>
      <v xml:space="preserve">http://creativecommons.org/licenses/by-sa/3.0/	</v>
    </spb>
    <spb s="0">
      <v xml:space="preserve">Wikipedia	Wikidata	Wikipedia	Sec	Weathertrends360	</v>
      <v xml:space="preserve">CC-BY-SA		CC-BY-SA			</v>
      <v xml:space="preserve">http://en.wikipedia.org/wiki/Shenzhen	https://www.wikidata.org/wiki/Q60748653	https://en.wikipedia.org/wiki/Shenzhen	https://www.sec.gov/cgi-bin/browse-edgar?action=getcompany&amp;CIK=0001809058	https://www.weathertrends360.com/	</v>
      <v xml:space="preserve">http://creativecommons.org/licenses/by-sa/3.0/		http://creativecommons.org/licenses/by-sa/3.0/			</v>
    </spb>
    <spb s="0">
      <v xml:space="preserve">Wikipedia	Wikidata	Wikipedia	Sec	</v>
      <v xml:space="preserve">CC-BY-SA		CC-BY-SA		</v>
      <v xml:space="preserve">http://en.wikipedia.org/wiki/Shenzhen	https://www.wikidata.org/wiki/Q60748653	https://en.wikipedia.org/wiki/Shenzhen	https://www.sec.gov/cgi-bin/browse-edgar?action=getcompany&amp;CIK=0001809058	</v>
      <v xml:space="preserve">http://creativecommons.org/licenses/by-sa/3.0/		http://creativecommons.org/licenses/by-sa/3.0/		</v>
    </spb>
    <spb s="0">
      <v xml:space="preserve">Wikipedia	Wikipedia	</v>
      <v xml:space="preserve">CC-BY-SA	CC-BY-SA	</v>
      <v xml:space="preserve">http://en.wikipedia.org/wiki/Shenzhen	https://en.wikipedia.org/wiki/Shenzhen	</v>
      <v xml:space="preserve">http://creativecommons.org/licenses/by-sa/3.0/	http://creativecommons.org/licenses/by-sa/3.0/	</v>
    </spb>
    <spb s="25">
      <v>151</v>
      <v>152</v>
      <v>151</v>
      <v>151</v>
      <v>151</v>
      <v>152</v>
      <v>151</v>
      <v>153</v>
      <v>154</v>
    </spb>
    <spb s="2">
      <v>6</v>
      <v>Name</v>
      <v>LearnMoreOnLink</v>
    </spb>
    <spb s="24">
      <v>square km</v>
      <v>2021</v>
    </spb>
    <spb s="0">
      <v xml:space="preserve">Wikipedia	</v>
      <v xml:space="preserve">CC BY-SA 4.0	</v>
      <v xml:space="preserve">http://it.wikipedia.org/wiki/Shenzhen	</v>
      <v xml:space="preserve">https://creativecommons.org/licenses/by-sa/4.0	</v>
    </spb>
    <spb s="9">
      <v>16</v>
    </spb>
    <spb s="0">
      <v xml:space="preserve">Wikipedia	Cia	travel.state.gov	</v>
      <v xml:space="preserve">CC-BY-SA			</v>
      <v xml:space="preserve">http://en.wikipedia.org/wiki/Japan	https://www.cia.gov/library/publications/the-world-factbook/geos/ja.html?Transportation	https://travel.state.gov/content/travel/en/international-travel/International-Travel-Country-Information-Pages/Japan.html	</v>
      <v xml:space="preserve">http://creativecommons.org/licenses/by-sa/3.0/			</v>
    </spb>
    <spb s="0">
      <v xml:space="preserve">Wikipedia	</v>
      <v xml:space="preserve">CC-BY-SA	</v>
      <v xml:space="preserve">http://en.wikipedia.org/wiki/Japan	</v>
      <v xml:space="preserve">http://creativecommons.org/licenses/by-sa/3.0/	</v>
    </spb>
    <spb s="0">
      <v xml:space="preserve">Wikipedia	Wikipedia	Cia	travel.state.gov	Sec	</v>
      <v xml:space="preserve">CC-BY-SA	CC-BY-SA				</v>
      <v xml:space="preserve">http://en.wikipedia.org/wiki/Japan	https://en.wikipedia.org/wiki/Japan	https://www.cia.gov/library/publications/the-world-factbook/geos/ja.html?Transportation	https://travel.state.gov/content/travel/en/international-travel/International-Travel-Country-Information-Pages/Japan.html	https://www.sec.gov/cgi-bin/browse-edgar?action=getcompany&amp;CIK=0001859934	</v>
      <v xml:space="preserve">http://creativecommons.org/licenses/by-sa/3.0/	http://creativecommons.org/licenses/by-sa/3.0/				</v>
    </spb>
    <spb s="0">
      <v xml:space="preserve">Wikipedia	Cia	</v>
      <v xml:space="preserve">CC-BY-SA		</v>
      <v xml:space="preserve">http://en.wikipedia.org/wiki/Japan	https://www.cia.gov/library/publications/the-world-factbook/geos/ja.html?Transportation	</v>
      <v xml:space="preserve">http://creativecommons.org/licenses/by-sa/3.0/		</v>
    </spb>
    <spb s="0">
      <v xml:space="preserve">travel.state.gov	</v>
      <v xml:space="preserve">	</v>
      <v xml:space="preserve">https://travel.state.gov/content/travel/en/international-travel/International-Travel-Country-Information-Pages/Japan.html	</v>
      <v xml:space="preserve">	</v>
    </spb>
    <spb s="0">
      <v xml:space="preserve">Cia	</v>
      <v xml:space="preserve">	</v>
      <v xml:space="preserve">https://www.cia.gov/library/publications/the-world-factbook/geos/ja.html?Transportation	</v>
      <v xml:space="preserve">	</v>
    </spb>
    <spb s="0">
      <v xml:space="preserve">Wikipedia	Wikipedia	Cia	travel.state.gov	Sec	</v>
      <v xml:space="preserve">CC-BY-SA	CC-BY-SA				</v>
      <v xml:space="preserve">http://en.wikipedia.org/wiki/Japan	http://fr.wikipedia.org/wiki/Japon	https://www.cia.gov/library/publications/the-world-factbook/geos/ja.html?Transportation	https://travel.state.gov/content/travel/en/international-travel/International-Travel-Country-Information-Pages/Japan.html	https://www.sec.gov/cgi-bin/browse-edgar?action=getcompany&amp;CIK=0001859934	</v>
      <v xml:space="preserve">http://creativecommons.org/licenses/by-sa/3.0/	http://creativecommons.org/licenses/by-sa/3.0/				</v>
    </spb>
    <spb s="26">
      <v>0</v>
      <v>160</v>
      <v>161</v>
      <v>162</v>
      <v>4</v>
      <v>5</v>
      <v>162</v>
      <v>161</v>
      <v>161</v>
      <v>163</v>
      <v>161</v>
      <v>164</v>
      <v>165</v>
      <v>10</v>
      <v>160</v>
      <v>165</v>
      <v>12</v>
      <v>161</v>
      <v>165</v>
      <v>14</v>
      <v>15</v>
      <v>16</v>
      <v>165</v>
      <v>165</v>
      <v>166</v>
      <v>165</v>
      <v>18</v>
      <v>19</v>
      <v>20</v>
      <v>21</v>
      <v>165</v>
      <v>160</v>
      <v>165</v>
      <v>165</v>
      <v>165</v>
      <v>165</v>
      <v>165</v>
      <v>165</v>
      <v>165</v>
      <v>165</v>
      <v>165</v>
      <v>165</v>
      <v>22</v>
    </spb>
    <spb s="2">
      <v>7</v>
      <v>Name</v>
      <v>LearnMoreOnLink</v>
    </spb>
    <spb s="8">
      <v>2019</v>
      <v>2019</v>
      <v>square km</v>
      <v>per thousand (2018)</v>
      <v>2019</v>
      <v>2019</v>
      <v>2018</v>
      <v>per liter (2016)</v>
      <v>2019</v>
      <v>years (2018)</v>
      <v>2018</v>
      <v>per thousand (2018)</v>
      <v>2019</v>
      <v>2017</v>
      <v>2016</v>
      <v>2019</v>
      <v>2016</v>
      <v>2016</v>
      <v>kilotons per year (2016)</v>
      <v>deaths per 100,000 (2017)</v>
      <v>kWh (2014)</v>
      <v>2015</v>
      <v>2019</v>
      <v>2013</v>
      <v>2013</v>
      <v>2013</v>
      <v>2013</v>
      <v>2013</v>
      <v>2015</v>
      <v>2013</v>
      <v>2013</v>
      <v>2015</v>
      <v>2015</v>
      <v>2019</v>
    </spb>
    <spb s="0">
      <v xml:space="preserve">Wikipedia	</v>
      <v xml:space="preserve">Public domain	</v>
      <v xml:space="preserve">http://en.wikipedia.org/wiki/Japan	</v>
      <v xml:space="preserve">http://en.wikipedia.org/wiki/Public_domain	</v>
    </spb>
    <spb s="2">
      <v>8</v>
      <v>Name</v>
      <v>LearnMoreOnLink</v>
    </spb>
    <spb s="27">
      <v>26</v>
      <v>25</v>
      <v>25</v>
      <v>25</v>
      <v>25</v>
    </spb>
    <spb s="28">
      <v>11</v>
      <v>9</v>
      <v>9</v>
      <v>11</v>
      <v>1</v>
      <v>11</v>
      <v>2</v>
      <v>11</v>
      <v>11</v>
      <v>6</v>
      <v>6</v>
      <v>13</v>
      <v>17</v>
      <v>11</v>
      <v>11</v>
      <v>11</v>
      <v>6</v>
      <v>15</v>
      <v>4</v>
      <v>8</v>
      <v>7</v>
      <v>6</v>
      <v>11</v>
      <v>11</v>
      <v>13</v>
    </spb>
    <spb s="29">
      <v>at close</v>
      <v>from previous close</v>
      <v>from previous close</v>
      <v>Source: Nasdaq</v>
      <v>GMT</v>
      <v>Delayed 15 minutes</v>
      <v>from close</v>
      <v>from close</v>
    </spb>
    <spb s="30">
      <v>Powered by Refinitiv</v>
    </spb>
    <spb s="2">
      <v>9</v>
      <v>Name</v>
      <v>LearnMoreOnLink</v>
    </spb>
    <spb s="31">
      <v>18</v>
      <v>9</v>
      <v>9</v>
      <v>18</v>
      <v>1</v>
      <v>18</v>
      <v>2</v>
      <v>18</v>
      <v>18</v>
      <v>6</v>
      <v>6</v>
      <v>13</v>
      <v>19</v>
      <v>18</v>
      <v>18</v>
      <v>18</v>
      <v>15</v>
      <v>4</v>
      <v>8</v>
      <v>7</v>
      <v>6</v>
    </spb>
    <spb s="32">
      <v>Delayed 20 minutes</v>
      <v>from previous close</v>
      <v>from previous close</v>
      <v>GMT</v>
    </spb>
    <spb s="2">
      <v>10</v>
      <v>Name</v>
      <v>LearnMoreOnLink</v>
    </spb>
    <spb s="33">
      <v>25</v>
      <v>25</v>
      <v>25</v>
      <v>25</v>
    </spb>
    <spb s="34">
      <v>18</v>
      <v>9</v>
      <v>9</v>
      <v>18</v>
      <v>1</v>
      <v>18</v>
      <v>18</v>
      <v>18</v>
      <v>6</v>
      <v>6</v>
      <v>13</v>
      <v>19</v>
      <v>18</v>
      <v>18</v>
      <v>18</v>
      <v>15</v>
      <v>4</v>
      <v>8</v>
      <v>7</v>
      <v>6</v>
    </spb>
    <spb s="2">
      <v>11</v>
      <v>Name</v>
      <v>LearnMoreOnLink</v>
    </spb>
    <spb s="35">
      <v>18</v>
      <v>9</v>
      <v>9</v>
      <v>18</v>
      <v>1</v>
      <v>18</v>
      <v>18</v>
      <v>18</v>
      <v>6</v>
      <v>13</v>
      <v>19</v>
      <v>18</v>
      <v>18</v>
      <v>18</v>
      <v>15</v>
      <v>4</v>
      <v>8</v>
      <v>7</v>
      <v>6</v>
    </spb>
    <spb s="31">
      <v>20</v>
      <v>9</v>
      <v>9</v>
      <v>20</v>
      <v>1</v>
      <v>20</v>
      <v>2</v>
      <v>20</v>
      <v>20</v>
      <v>6</v>
      <v>6</v>
      <v>13</v>
      <v>21</v>
      <v>20</v>
      <v>20</v>
      <v>20</v>
      <v>15</v>
      <v>4</v>
      <v>8</v>
      <v>7</v>
      <v>6</v>
    </spb>
    <spb s="32">
      <v>Delayed 15 minutes</v>
      <v>from previous close</v>
      <v>from previous close</v>
      <v>GMT</v>
    </spb>
    <spb s="34">
      <v>20</v>
      <v>9</v>
      <v>9</v>
      <v>20</v>
      <v>1</v>
      <v>20</v>
      <v>20</v>
      <v>20</v>
      <v>6</v>
      <v>6</v>
      <v>13</v>
      <v>22</v>
      <v>20</v>
      <v>20</v>
      <v>20</v>
      <v>15</v>
      <v>4</v>
      <v>8</v>
      <v>7</v>
      <v>6</v>
    </spb>
    <spb s="2">
      <v>12</v>
      <v>Name</v>
      <v>LearnMoreOnLink</v>
    </spb>
    <spb s="36">
      <v>9</v>
      <v>9</v>
      <v>1</v>
      <v>20</v>
      <v>20</v>
      <v>6</v>
      <v>6</v>
      <v>13</v>
      <v>22</v>
      <v>20</v>
      <v>20</v>
      <v>20</v>
      <v>23</v>
      <v>4</v>
      <v>8</v>
      <v>7</v>
      <v>6</v>
    </spb>
    <spb s="2">
      <v>13</v>
      <v>Name</v>
      <v>LearnMoreOnLink</v>
    </spb>
    <spb s="37">
      <v>20</v>
      <v>9</v>
      <v>20</v>
      <v>1</v>
      <v>20</v>
      <v>20</v>
      <v>20</v>
      <v>6</v>
      <v>6</v>
      <v>13</v>
      <v>22</v>
      <v>20</v>
      <v>20</v>
      <v>20</v>
      <v>15</v>
      <v>4</v>
      <v>8</v>
      <v>7</v>
      <v>6</v>
    </spb>
    <spb s="2">
      <v>14</v>
      <v>Name</v>
      <v>LearnMoreOnLink</v>
    </spb>
    <spb s="38">
      <v>25</v>
      <v>25</v>
      <v>25</v>
    </spb>
    <spb s="39">
      <v>24</v>
      <v>24</v>
      <v>1</v>
      <v>24</v>
      <v>24</v>
      <v>24</v>
      <v>6</v>
      <v>13</v>
      <v>24</v>
      <v>24</v>
      <v>24</v>
      <v>15</v>
      <v>4</v>
      <v>7</v>
    </spb>
    <spb s="2">
      <v>15</v>
      <v>Name</v>
      <v>LearnMoreOnLink</v>
    </spb>
    <spb s="40">
      <v>20</v>
      <v>9</v>
      <v>9</v>
      <v>20</v>
      <v>1</v>
      <v>20</v>
      <v>20</v>
      <v>20</v>
      <v>6</v>
      <v>6</v>
      <v>13</v>
      <v>22</v>
      <v>20</v>
      <v>20</v>
      <v>20</v>
      <v>15</v>
      <v>4</v>
      <v>7</v>
      <v>6</v>
    </spb>
    <spb s="2">
      <v>16</v>
      <v>Name</v>
      <v>LearnMoreOnLink</v>
    </spb>
    <spb s="41">
      <v>24</v>
      <v>9</v>
      <v>24</v>
      <v>1</v>
      <v>24</v>
      <v>24</v>
      <v>24</v>
      <v>6</v>
      <v>13</v>
      <v>25</v>
      <v>24</v>
      <v>24</v>
      <v>13</v>
      <v>24</v>
      <v>15</v>
      <v>4</v>
      <v>7</v>
    </spb>
    <spb s="2">
      <v>17</v>
      <v>Name</v>
      <v>LearnMoreOnLink</v>
    </spb>
    <spb s="42">
      <v>26</v>
      <v>9</v>
      <v>26</v>
      <v>1</v>
      <v>26</v>
      <v>26</v>
      <v>26</v>
      <v>6</v>
      <v>6</v>
      <v>13</v>
      <v>27</v>
      <v>26</v>
      <v>26</v>
      <v>26</v>
      <v>6</v>
      <v>15</v>
      <v>4</v>
      <v>8</v>
      <v>7</v>
      <v>6</v>
    </spb>
    <spb s="2">
      <v>18</v>
      <v>Name</v>
      <v>LearnMoreOnLink</v>
    </spb>
    <spb s="43">
      <v>9</v>
      <v>9</v>
      <v>1</v>
      <v>28</v>
      <v>28</v>
      <v>28</v>
      <v>6</v>
      <v>6</v>
      <v>13</v>
      <v>21</v>
      <v>28</v>
      <v>28</v>
      <v>28</v>
      <v>15</v>
      <v>4</v>
      <v>8</v>
      <v>7</v>
      <v>6</v>
    </spb>
    <spb s="44">
      <v>Delayed 15 minutes</v>
      <v>from previous close</v>
      <v>from previous close</v>
      <v>LSE</v>
      <v>GMT</v>
    </spb>
    <spb s="31">
      <v>28</v>
      <v>9</v>
      <v>9</v>
      <v>28</v>
      <v>1</v>
      <v>28</v>
      <v>2</v>
      <v>28</v>
      <v>28</v>
      <v>6</v>
      <v>6</v>
      <v>13</v>
      <v>21</v>
      <v>28</v>
      <v>28</v>
      <v>28</v>
      <v>15</v>
      <v>4</v>
      <v>8</v>
      <v>7</v>
      <v>6</v>
    </spb>
    <spb s="34">
      <v>28</v>
      <v>9</v>
      <v>9</v>
      <v>28</v>
      <v>1</v>
      <v>28</v>
      <v>28</v>
      <v>28</v>
      <v>6</v>
      <v>6</v>
      <v>13</v>
      <v>21</v>
      <v>28</v>
      <v>28</v>
      <v>28</v>
      <v>15</v>
      <v>4</v>
      <v>8</v>
      <v>7</v>
      <v>6</v>
    </spb>
    <spb s="41">
      <v>29</v>
      <v>9</v>
      <v>29</v>
      <v>1</v>
      <v>29</v>
      <v>29</v>
      <v>29</v>
      <v>6</v>
      <v>13</v>
      <v>21</v>
      <v>29</v>
      <v>29</v>
      <v>13</v>
      <v>29</v>
      <v>15</v>
      <v>4</v>
      <v>7</v>
    </spb>
    <spb s="45">
      <v>Delayed 15 minutes</v>
      <v>from previous close</v>
      <v>LSE</v>
      <v>from previous close</v>
      <v>GMT</v>
    </spb>
    <spb s="37">
      <v>28</v>
      <v>9</v>
      <v>28</v>
      <v>1</v>
      <v>28</v>
      <v>28</v>
      <v>28</v>
      <v>6</v>
      <v>6</v>
      <v>13</v>
      <v>21</v>
      <v>28</v>
      <v>28</v>
      <v>28</v>
      <v>15</v>
      <v>4</v>
      <v>8</v>
      <v>7</v>
      <v>6</v>
    </spb>
    <spb s="35">
      <v>28</v>
      <v>9</v>
      <v>9</v>
      <v>28</v>
      <v>1</v>
      <v>28</v>
      <v>28</v>
      <v>28</v>
      <v>6</v>
      <v>13</v>
      <v>21</v>
      <v>28</v>
      <v>28</v>
      <v>28</v>
      <v>15</v>
      <v>4</v>
      <v>8</v>
      <v>7</v>
      <v>6</v>
    </spb>
    <spb s="2">
      <v>19</v>
      <v>Name</v>
      <v>LearnMoreOnLink</v>
    </spb>
    <spb s="46">
      <v>11</v>
      <v>9</v>
      <v>11</v>
      <v>1</v>
      <v>11</v>
      <v>11</v>
      <v>11</v>
      <v>6</v>
      <v>13</v>
      <v>12</v>
      <v>11</v>
      <v>11</v>
      <v>13</v>
      <v>11</v>
      <v>6</v>
      <v>15</v>
      <v>4</v>
      <v>7</v>
      <v>11</v>
      <v>11</v>
      <v>13</v>
    </spb>
    <spb s="47">
      <v>at close</v>
      <v>from previous close</v>
      <v>Source: Nasdaq</v>
      <v>from previous close</v>
      <v>GMT</v>
      <v>Delayed 15 minutes</v>
      <v>from close</v>
      <v>from close</v>
    </spb>
    <spb s="28">
      <v>11</v>
      <v>9</v>
      <v>9</v>
      <v>11</v>
      <v>1</v>
      <v>11</v>
      <v>2</v>
      <v>11</v>
      <v>11</v>
      <v>6</v>
      <v>6</v>
      <v>13</v>
      <v>12</v>
      <v>11</v>
      <v>11</v>
      <v>11</v>
      <v>6</v>
      <v>15</v>
      <v>4</v>
      <v>8</v>
      <v>7</v>
      <v>6</v>
      <v>11</v>
      <v>11</v>
      <v>13</v>
    </spb>
    <spb s="2">
      <v>20</v>
      <v>Name</v>
      <v>LearnMoreOnLink</v>
    </spb>
    <spb s="48">
      <v>11</v>
      <v>9</v>
      <v>9</v>
      <v>11</v>
      <v>1</v>
      <v>11</v>
      <v>11</v>
      <v>11</v>
      <v>6</v>
      <v>6</v>
      <v>13</v>
      <v>12</v>
      <v>11</v>
      <v>11</v>
      <v>11</v>
      <v>6</v>
      <v>15</v>
      <v>4</v>
      <v>8</v>
      <v>7</v>
      <v>6</v>
      <v>11</v>
      <v>11</v>
      <v>13</v>
    </spb>
    <spb s="2">
      <v>21</v>
      <v>Name</v>
      <v>LearnMoreOnLink</v>
    </spb>
    <spb s="49">
      <v>11</v>
      <v>11</v>
      <v>1</v>
      <v>11</v>
      <v>11</v>
      <v>11</v>
      <v>6</v>
      <v>6</v>
      <v>13</v>
      <v>12</v>
      <v>11</v>
      <v>11</v>
      <v>11</v>
      <v>6</v>
      <v>15</v>
      <v>4</v>
      <v>8</v>
      <v>7</v>
      <v>6</v>
      <v>11</v>
      <v>11</v>
      <v>13</v>
    </spb>
    <spb s="2">
      <v>22</v>
      <v>Name</v>
      <v>LearnMoreOnLink</v>
    </spb>
    <spb s="50">
      <v>11</v>
      <v>9</v>
      <v>11</v>
      <v>1</v>
      <v>11</v>
      <v>11</v>
      <v>11</v>
      <v>6</v>
      <v>6</v>
      <v>13</v>
      <v>12</v>
      <v>11</v>
      <v>11</v>
      <v>11</v>
      <v>6</v>
      <v>15</v>
      <v>4</v>
      <v>8</v>
      <v>7</v>
      <v>6</v>
      <v>11</v>
      <v>11</v>
      <v>13</v>
    </spb>
    <spb s="10">
      <v>20</v>
      <v>Name</v>
    </spb>
    <spb s="51">
      <v>25</v>
      <v>25</v>
      <v>25</v>
    </spb>
    <spb s="2">
      <v>23</v>
      <v>Name</v>
      <v>LearnMoreOnLink</v>
    </spb>
    <spb s="52">
      <v>11</v>
      <v>9</v>
      <v>11</v>
      <v>1</v>
      <v>11</v>
      <v>2</v>
      <v>11</v>
      <v>11</v>
      <v>6</v>
      <v>6</v>
      <v>13</v>
      <v>12</v>
      <v>11</v>
      <v>11</v>
      <v>11</v>
      <v>6</v>
      <v>15</v>
      <v>4</v>
      <v>8</v>
      <v>7</v>
      <v>6</v>
      <v>11</v>
      <v>11</v>
      <v>13</v>
    </spb>
    <spb s="2">
      <v>24</v>
      <v>Name</v>
      <v>LearnMoreOnLink</v>
    </spb>
    <spb s="53">
      <v>1</v>
      <v>4</v>
      <v>7</v>
    </spb>
    <spb s="54">
      <v>Source: Nasdaq</v>
    </spb>
    <spb s="48">
      <v>11</v>
      <v>9</v>
      <v>9</v>
      <v>11</v>
      <v>1</v>
      <v>11</v>
      <v>11</v>
      <v>11</v>
      <v>6</v>
      <v>6</v>
      <v>13</v>
      <v>17</v>
      <v>11</v>
      <v>11</v>
      <v>11</v>
      <v>6</v>
      <v>15</v>
      <v>4</v>
      <v>8</v>
      <v>7</v>
      <v>6</v>
      <v>11</v>
      <v>11</v>
      <v>13</v>
    </spb>
    <spb s="34">
      <v>30</v>
      <v>9</v>
      <v>9</v>
      <v>30</v>
      <v>1</v>
      <v>30</v>
      <v>30</v>
      <v>30</v>
      <v>6</v>
      <v>6</v>
      <v>13</v>
      <v>31</v>
      <v>30</v>
      <v>30</v>
      <v>30</v>
      <v>15</v>
      <v>4</v>
      <v>8</v>
      <v>7</v>
      <v>6</v>
    </spb>
    <spb s="44">
      <v>Delayed 15 minutes</v>
      <v>from previous close</v>
      <v>from previous close</v>
      <v>PSE</v>
      <v>GMT</v>
    </spb>
    <spb s="37">
      <v>30</v>
      <v>9</v>
      <v>30</v>
      <v>1</v>
      <v>30</v>
      <v>30</v>
      <v>30</v>
      <v>6</v>
      <v>6</v>
      <v>13</v>
      <v>31</v>
      <v>30</v>
      <v>30</v>
      <v>30</v>
      <v>15</v>
      <v>4</v>
      <v>8</v>
      <v>7</v>
      <v>6</v>
    </spb>
    <spb s="34">
      <v>20</v>
      <v>9</v>
      <v>9</v>
      <v>20</v>
      <v>1</v>
      <v>20</v>
      <v>20</v>
      <v>20</v>
      <v>6</v>
      <v>6</v>
      <v>13</v>
      <v>25</v>
      <v>20</v>
      <v>20</v>
      <v>20</v>
      <v>15</v>
      <v>4</v>
      <v>8</v>
      <v>7</v>
      <v>6</v>
    </spb>
    <spb s="32">
      <v>Delayed 30 minutes</v>
      <v>from previous close</v>
      <v>from previous close</v>
      <v>GMT</v>
    </spb>
    <spb s="37">
      <v>20</v>
      <v>9</v>
      <v>20</v>
      <v>1</v>
      <v>20</v>
      <v>20</v>
      <v>20</v>
      <v>6</v>
      <v>6</v>
      <v>13</v>
      <v>25</v>
      <v>20</v>
      <v>20</v>
      <v>20</v>
      <v>15</v>
      <v>4</v>
      <v>8</v>
      <v>7</v>
      <v>6</v>
    </spb>
  </spbData>
</supportingPropertyBags>
</file>

<file path=xl/richData/rdsupportingpropertybagstructure.xml><?xml version="1.0" encoding="utf-8"?>
<spbStructures xmlns="http://schemas.microsoft.com/office/spreadsheetml/2017/richdata2" count="55">
  <s>
    <k n="SourceText" t="s"/>
    <k n="LicenseText" t="s"/>
    <k n="SourceAddress" t="s"/>
    <k n="LicenseAddress" t="s"/>
  </s>
  <s>
    <k n="CPI" t="spb"/>
    <k n="GDP" t="spb"/>
    <k n="Area" t="spb"/>
    <k n="Name" t="spb"/>
    <k n="Birth rate" t="spb"/>
    <k n="Population" t="spb"/>
    <k n="UniqueName" t="spb"/>
    <k n="Description" t="spb"/>
    <k n="Abbreviation" t="spb"/>
    <k n="Calling code" t="spb"/>
    <k n="Largest city" t="spb"/>
    <k n="Minimum wage" t="spb"/>
    <k n="Currency code" t="spb"/>
    <k n="CPI Change (%)" t="spb"/>
    <k n="Fertility rate" t="spb"/>
    <k n="Gasoline price" t="spb"/>
    <k n="Total tax rate" t="spb"/>
    <k n="Life expectancy" t="spb"/>
    <k n="National anthem" t="spb"/>
    <k n="Tax revenue (%)" t="spb"/>
    <k n="Infant mortality" t="spb"/>
    <k n="Urban population" t="spb"/>
    <k n="Armed forces size" t="spb"/>
    <k n="Forested area (%)" t="spb"/>
    <k n="Capital/Major City" t="spb"/>
    <k n="Agricultural land (%)" t="spb"/>
    <k n="Physicians per thousand" t="spb"/>
    <k n="Carbon dioxide emissions" t="spb"/>
    <k n="Maternal mortality ratio" t="spb"/>
    <k n="Electric power consumption" t="spb"/>
    <k n="Fossil fuel energy consumption" t="spb"/>
    <k n="Market cap of listed companies" t="spb"/>
    <k n="Population: Income share third 20%" t="spb"/>
    <k n="Population: Income share fourth 20%" t="spb"/>
    <k n="Population: Income share lowest 10%" t="spb"/>
    <k n="Population: Income share lowest 20%" t="spb"/>
    <k n="Population: Income share second 20%" t="spb"/>
    <k n="Out of pocket health expenditure (%)" t="spb"/>
    <k n="Population: Income share highest 10%" t="spb"/>
    <k n="Population: Income share highest 20%" t="spb"/>
    <k n="Gross primary education enrollment (%)" t="spb"/>
    <k n="Gross tertiary education enrollment (%)" t="spb"/>
    <k n="Population: Labor force participation (%)" t="spb"/>
  </s>
  <s>
    <k n="^Order" t="spba"/>
    <k n="TitleProperty" t="s"/>
    <k n="SubTitleProperty" t="s"/>
  </s>
  <s>
    <k n="ShowInCardView" t="b"/>
    <k n="ShowInDotNotation" t="b"/>
    <k n="ShowInAutoComplete" t="b"/>
  </s>
  <s>
    <k n="ShowInDotNotation" t="b"/>
    <k n="ShowInAutoComplete" t="b"/>
  </s>
  <s>
    <k n="UniqueName" t="spb"/>
    <k n="VDPID/VSID" t="spb"/>
    <k n="Description" t="spb"/>
    <k n="LearnMoreOnLink" t="spb"/>
  </s>
  <s>
    <k n="Name" t="i"/>
    <k n="Image" t="i"/>
    <k n="Description" t="i"/>
    <k n="`_DisplayString" t="i"/>
  </s>
  <s>
    <k n="link" t="s"/>
    <k n="logo" t="s"/>
    <k n="name" t="s"/>
  </s>
  <s>
    <k n="CPI" t="s"/>
    <k n="GDP" t="s"/>
    <k n="Area" t="s"/>
    <k n="Birth rate" t="s"/>
    <k n="Population" t="s"/>
    <k n="CPI Change (%)" t="s"/>
    <k n="Fertility rate" t="s"/>
    <k n="Gasoline price" t="s"/>
    <k n="Total tax rate" t="s"/>
    <k n="Life expectancy" t="s"/>
    <k n="Tax revenue (%)" t="s"/>
    <k n="Infant mortality" t="s"/>
    <k n="Urban population" t="s"/>
    <k n="Armed forces size" t="s"/>
    <k n="Forested area (%)" t="s"/>
    <k n="Unemployment rate" t="s"/>
    <k n="Agricultural land (%)" t="s"/>
    <k n="Physicians per thousand" t="s"/>
    <k n="Carbon dioxide emissions" t="s"/>
    <k n="Maternal mortality ratio" t="s"/>
    <k n="Electric power consumption" t="s"/>
    <k n="Fossil fuel energy consumption" t="s"/>
    <k n="Market cap of listed companies" t="s"/>
    <k n="Population: Income share third 20%" t="s"/>
    <k n="Population: Income share fourth 20%" t="s"/>
    <k n="Population: Income share lowest 10%" t="s"/>
    <k n="Population: Income share lowest 20%" t="s"/>
    <k n="Population: Income share second 20%" t="s"/>
    <k n="Out of pocket health expenditure (%)" t="s"/>
    <k n="Population: Income share highest 10%" t="s"/>
    <k n="Population: Income share highest 20%" t="s"/>
    <k n="Gross primary education enrollment (%)" t="s"/>
    <k n="Gross tertiary education enrollment (%)" t="s"/>
    <k n="Population: Labor force participation (%)" t="s"/>
  </s>
  <s>
    <k n="_Self" t="i"/>
  </s>
  <s>
    <k n="^Order" t="spba"/>
    <k n="TitleProperty" t="s"/>
  </s>
  <s>
    <k n="UniqueName" t="spb"/>
    <k n="%ProviderInfo" t="spb"/>
  </s>
  <s>
    <k n="Low" t="i"/>
    <k n="High" t="i"/>
    <k n="Name" t="i"/>
    <k n="Open" t="i"/>
    <k n="Price" t="i"/>
    <k n="Change" t="i"/>
    <k n="Change (%)" t="i"/>
    <k n="52 week low" t="i"/>
    <k n="52 week high" t="i"/>
    <k n="Previous close" t="i"/>
    <k n="Last trade time" t="i"/>
    <k n="`_DisplayString" t="i"/>
    <k n="`%EntityServiceId" t="i"/>
  </s>
  <s>
    <k n="Last trade time" t="s"/>
  </s>
  <s>
    <k n="CPI" t="spb"/>
    <k n="GDP" t="spb"/>
    <k n="Area" t="spb"/>
    <k n="Name" t="spb"/>
    <k n="Birth rate" t="spb"/>
    <k n="Population" t="spb"/>
    <k n="UniqueName" t="spb"/>
    <k n="Description" t="spb"/>
    <k n="Abbreviation" t="spb"/>
    <k n="Calling code" t="spb"/>
    <k n="Minimum wage" t="spb"/>
    <k n="Currency code" t="spb"/>
    <k n="CPI Change (%)" t="spb"/>
    <k n="Fertility rate" t="spb"/>
    <k n="Gasoline price" t="spb"/>
    <k n="Total tax rate" t="spb"/>
    <k n="Life expectancy" t="spb"/>
    <k n="National anthem" t="spb"/>
    <k n="Tax revenue (%)" t="spb"/>
    <k n="Infant mortality" t="spb"/>
    <k n="Urban population" t="spb"/>
    <k n="Armed forces size" t="spb"/>
    <k n="Forested area (%)" t="spb"/>
    <k n="Unemployment rate" t="spb"/>
    <k n="Capital/Major City" t="spb"/>
    <k n="Agricultural land (%)" t="spb"/>
    <k n="Physicians per thousand" t="spb"/>
    <k n="Carbon dioxide emissions" t="spb"/>
    <k n="Maternal mortality ratio" t="spb"/>
    <k n="Electric power consumption" t="spb"/>
    <k n="Fossil fuel energy consumption" t="spb"/>
    <k n="Market cap of listed companies" t="spb"/>
    <k n="Population: Income share third 20%" t="spb"/>
    <k n="Population: Income share fourth 20%" t="spb"/>
    <k n="Population: Income share lowest 10%" t="spb"/>
    <k n="Population: Income share lowest 20%" t="spb"/>
    <k n="Population: Income share second 20%" t="spb"/>
    <k n="Out of pocket health expenditure (%)" t="spb"/>
    <k n="Population: Income share highest 10%" t="spb"/>
    <k n="Population: Income share highest 20%" t="spb"/>
    <k n="Gross primary education enrollment (%)" t="spb"/>
    <k n="Gross tertiary education enrollment (%)" t="spb"/>
    <k n="Population: Labor force participation (%)" t="spb"/>
  </s>
  <s>
    <k n="CPI" t="spb"/>
    <k n="GDP" t="spb"/>
    <k n="Area" t="spb"/>
    <k n="Name" t="spb"/>
    <k n="Birth rate" t="spb"/>
    <k n="Population" t="spb"/>
    <k n="UniqueName" t="spb"/>
    <k n="Description" t="spb"/>
    <k n="Abbreviation" t="spb"/>
    <k n="Calling code" t="spb"/>
    <k n="Largest city" t="spb"/>
    <k n="Minimum wage" t="spb"/>
    <k n="Currency code" t="spb"/>
    <k n="Official name" t="spb"/>
    <k n="CPI Change (%)" t="spb"/>
    <k n="Fertility rate" t="spb"/>
    <k n="Gasoline price" t="spb"/>
    <k n="Total tax rate" t="spb"/>
    <k n="Life expectancy" t="spb"/>
    <k n="National anthem" t="spb"/>
    <k n="Tax revenue (%)" t="spb"/>
    <k n="Infant mortality" t="spb"/>
    <k n="Urban population" t="spb"/>
    <k n="Armed forces size" t="spb"/>
    <k n="Forested area (%)" t="spb"/>
    <k n="Unemployment rate" t="spb"/>
    <k n="Capital/Major City" t="spb"/>
    <k n="Agricultural land (%)" t="spb"/>
    <k n="Physicians per thousand" t="spb"/>
    <k n="Carbon dioxide emissions" t="spb"/>
    <k n="Maternal mortality ratio" t="spb"/>
    <k n="Electric power consumption" t="spb"/>
    <k n="Fossil fuel energy consumption" t="spb"/>
    <k n="Market cap of listed companies" t="spb"/>
    <k n="Population: Income share third 20%" t="spb"/>
    <k n="Population: Income share fourth 20%" t="spb"/>
    <k n="Population: Income share lowest 10%" t="spb"/>
    <k n="Population: Income share lowest 20%" t="spb"/>
    <k n="Population: Income share second 20%" t="spb"/>
    <k n="Out of pocket health expenditure (%)" t="spb"/>
    <k n="Population: Income share highest 10%" t="spb"/>
    <k n="Population: Income share highest 20%" t="spb"/>
    <k n="Gross primary education enrollment (%)" t="spb"/>
    <k n="Gross tertiary education enrollment (%)" t="spb"/>
    <k n="Population: Labor force participation (%)" t="spb"/>
  </s>
  <s>
    <k n="CPI" t="spb"/>
    <k n="GDP" t="spb"/>
    <k n="Area" t="spb"/>
    <k n="Name" t="spb"/>
    <k n="Birth rate" t="spb"/>
    <k n="Population" t="spb"/>
    <k n="UniqueName" t="spb"/>
    <k n="Description" t="spb"/>
    <k n="Abbreviation" t="spb"/>
    <k n="Calling code" t="spb"/>
    <k n="Minimum wage" t="spb"/>
    <k n="Official name" t="spb"/>
    <k n="CPI Change (%)" t="spb"/>
    <k n="Fertility rate" t="spb"/>
    <k n="Gasoline price" t="spb"/>
    <k n="Total tax rate" t="spb"/>
    <k n="Life expectancy" t="spb"/>
    <k n="National anthem" t="spb"/>
    <k n="Urban population" t="spb"/>
    <k n="Unemployment rate" t="spb"/>
    <k n="Capital/Major City" t="spb"/>
    <k n="Agricultural land (%)" t="spb"/>
    <k n="Physicians per thousand" t="spb"/>
    <k n="Carbon dioxide emissions" t="spb"/>
    <k n="Electric power consumption" t="spb"/>
    <k n="Fossil fuel energy consumption" t="spb"/>
    <k n="Market cap of listed companies" t="spb"/>
    <k n="Gross primary education enrollment (%)" t="spb"/>
    <k n="Gross tertiary education enrollment (%)" t="spb"/>
    <k n="Population: Labor force participation (%)" t="spb"/>
  </s>
  <s>
    <k n="CPI" t="s"/>
    <k n="GDP" t="s"/>
    <k n="Area" t="s"/>
    <k n="Birth rate" t="s"/>
    <k n="Population" t="s"/>
    <k n="CPI Change (%)" t="s"/>
    <k n="Fertility rate" t="s"/>
    <k n="Gasoline price" t="s"/>
    <k n="Total tax rate" t="s"/>
    <k n="Life expectancy" t="s"/>
    <k n="Urban population" t="s"/>
    <k n="Unemployment rate" t="s"/>
    <k n="Agricultural land (%)" t="s"/>
    <k n="Physicians per thousand" t="s"/>
    <k n="Carbon dioxide emissions" t="s"/>
    <k n="Electric power consumption" t="s"/>
    <k n="Fossil fuel energy consumption" t="s"/>
    <k n="Market cap of listed companies" t="s"/>
    <k n="Gross primary education enrollment (%)" t="s"/>
    <k n="Gross tertiary education enrollment (%)" t="s"/>
    <k n="Population: Labor force participation (%)" t="s"/>
  </s>
  <s>
    <k n="Low" t="i"/>
    <k n="High" t="i"/>
    <k n="Name" t="i"/>
    <k n="Open" t="i"/>
    <k n="Price" t="i"/>
    <k n="Change" t="i"/>
    <k n="52 week low" t="i"/>
    <k n="52 week high" t="i"/>
    <k n="Previous close" t="i"/>
    <k n="Last trade time" t="i"/>
    <k n="`_DisplayString" t="i"/>
    <k n="`%EntityServiceId" t="i"/>
  </s>
  <s>
    <k n="CPI" t="spb"/>
    <k n="GDP" t="spb"/>
    <k n="Area" t="spb"/>
    <k n="Name" t="spb"/>
    <k n="Birth rate" t="spb"/>
    <k n="Population" t="spb"/>
    <k n="UniqueName" t="spb"/>
    <k n="Description" t="spb"/>
    <k n="Abbreviation" t="spb"/>
    <k n="Calling code" t="spb"/>
    <k n="Largest city" t="spb"/>
    <k n="Minimum wage" t="spb"/>
    <k n="Currency code" t="spb"/>
    <k n="CPI Change (%)" t="spb"/>
    <k n="Fertility rate" t="spb"/>
    <k n="Gasoline price" t="spb"/>
    <k n="Total tax rate" t="spb"/>
    <k n="Life expectancy" t="spb"/>
    <k n="National anthem" t="spb"/>
    <k n="Tax revenue (%)" t="spb"/>
    <k n="Infant mortality" t="spb"/>
    <k n="Urban population" t="spb"/>
    <k n="Armed forces size" t="spb"/>
    <k n="Forested area (%)" t="spb"/>
    <k n="Unemployment rate" t="spb"/>
    <k n="Capital/Major City" t="spb"/>
    <k n="Agricultural land (%)" t="spb"/>
    <k n="Physicians per thousand" t="spb"/>
    <k n="Carbon dioxide emissions" t="spb"/>
    <k n="Maternal mortality ratio" t="spb"/>
    <k n="Electric power consumption" t="spb"/>
    <k n="Fossil fuel energy consumption" t="spb"/>
    <k n="Market cap of listed companies" t="spb"/>
    <k n="Population: Income share third 20%" t="spb"/>
    <k n="Population: Income share fourth 20%" t="spb"/>
    <k n="Population: Income share lowest 10%" t="spb"/>
    <k n="Population: Income share lowest 20%" t="spb"/>
    <k n="Population: Income share second 20%" t="spb"/>
    <k n="Out of pocket health expenditure (%)" t="spb"/>
    <k n="Population: Income share highest 10%" t="spb"/>
    <k n="Population: Income share highest 20%" t="spb"/>
    <k n="Gross primary education enrollment (%)" t="spb"/>
    <k n="Gross tertiary education enrollment (%)" t="spb"/>
    <k n="Population: Labor force participation (%)" t="spb"/>
  </s>
  <s>
    <k n="CPI" t="spb"/>
    <k n="GDP" t="spb"/>
    <k n="Area" t="spb"/>
    <k n="Name" t="spb"/>
    <k n="Birth rate" t="spb"/>
    <k n="Population" t="spb"/>
    <k n="UniqueName" t="spb"/>
    <k n="Description" t="spb"/>
    <k n="Abbreviation" t="spb"/>
    <k n="Calling code" t="spb"/>
    <k n="Currency code" t="spb"/>
    <k n="Official name" t="spb"/>
    <k n="CPI Change (%)" t="spb"/>
    <k n="Fertility rate" t="spb"/>
    <k n="Gasoline price" t="spb"/>
    <k n="Total tax rate" t="spb"/>
    <k n="Life expectancy" t="spb"/>
    <k n="National anthem" t="spb"/>
    <k n="Tax revenue (%)" t="spb"/>
    <k n="Infant mortality" t="spb"/>
    <k n="Urban population" t="spb"/>
    <k n="Armed forces size" t="spb"/>
    <k n="Forested area (%)" t="spb"/>
    <k n="Unemployment rate" t="spb"/>
    <k n="Capital/Major City" t="spb"/>
    <k n="Agricultural land (%)" t="spb"/>
    <k n="Physicians per thousand" t="spb"/>
    <k n="Carbon dioxide emissions" t="spb"/>
    <k n="Maternal mortality ratio" t="spb"/>
    <k n="Electric power consumption" t="spb"/>
    <k n="Fossil fuel energy consumption" t="spb"/>
    <k n="Market cap of listed companies" t="spb"/>
    <k n="Out of pocket health expenditure (%)" t="spb"/>
    <k n="Gross primary education enrollment (%)" t="spb"/>
    <k n="Gross tertiary education enrollment (%)" t="spb"/>
    <k n="Population: Labor force participation (%)" t="spb"/>
  </s>
  <s>
    <k n="CPI" t="s"/>
    <k n="GDP" t="s"/>
    <k n="Area" t="s"/>
    <k n="Birth rate" t="s"/>
    <k n="Population" t="s"/>
    <k n="CPI Change (%)" t="s"/>
    <k n="Fertility rate" t="s"/>
    <k n="Gasoline price" t="s"/>
    <k n="Total tax rate" t="s"/>
    <k n="Life expectancy" t="s"/>
    <k n="Tax revenue (%)" t="s"/>
    <k n="Infant mortality" t="s"/>
    <k n="Urban population" t="s"/>
    <k n="Armed forces size" t="s"/>
    <k n="Forested area (%)" t="s"/>
    <k n="Unemployment rate" t="s"/>
    <k n="Agricultural land (%)" t="s"/>
    <k n="Physicians per thousand" t="s"/>
    <k n="Carbon dioxide emissions" t="s"/>
    <k n="Maternal mortality ratio" t="s"/>
    <k n="Electric power consumption" t="s"/>
    <k n="Fossil fuel energy consumption" t="s"/>
    <k n="Market cap of listed companies" t="s"/>
    <k n="Out of pocket health expenditure (%)" t="s"/>
    <k n="Gross primary education enrollment (%)" t="s"/>
    <k n="Gross tertiary education enrollment (%)" t="s"/>
    <k n="Population: Labor force participation (%)" t="s"/>
  </s>
  <s>
    <k n="CPI" t="spb"/>
    <k n="GDP" t="spb"/>
    <k n="Area" t="spb"/>
    <k n="Name" t="spb"/>
    <k n="Birth rate" t="spb"/>
    <k n="Population" t="spb"/>
    <k n="UniqueName" t="spb"/>
    <k n="Description" t="spb"/>
    <k n="Abbreviation" t="spb"/>
    <k n="Calling code" t="spb"/>
    <k n="Largest city" t="spb"/>
    <k n="Minimum wage" t="spb"/>
    <k n="Currency code" t="spb"/>
    <k n="Official name" t="spb"/>
    <k n="CPI Change (%)" t="spb"/>
    <k n="Fertility rate" t="spb"/>
    <k n="Gasoline price" t="spb"/>
    <k n="Total tax rate" t="spb"/>
    <k n="National anthem" t="spb"/>
    <k n="Tax revenue (%)" t="spb"/>
    <k n="Infant mortality" t="spb"/>
    <k n="Urban population" t="spb"/>
    <k n="Armed forces size" t="spb"/>
    <k n="Forested area (%)" t="spb"/>
    <k n="Unemployment rate" t="spb"/>
    <k n="Capital/Major City" t="spb"/>
    <k n="Agricultural land (%)" t="spb"/>
    <k n="Physicians per thousand" t="spb"/>
    <k n="Carbon dioxide emissions" t="spb"/>
    <k n="Maternal mortality ratio" t="spb"/>
    <k n="Electric power consumption" t="spb"/>
    <k n="Fossil fuel energy consumption" t="spb"/>
    <k n="Market cap of listed companies" t="spb"/>
    <k n="Population: Income share third 20%" t="spb"/>
    <k n="Population: Income share fourth 20%" t="spb"/>
    <k n="Population: Income share lowest 10%" t="spb"/>
    <k n="Population: Income share lowest 20%" t="spb"/>
    <k n="Population: Income share second 20%" t="spb"/>
    <k n="Out of pocket health expenditure (%)" t="spb"/>
    <k n="Population: Income share highest 10%" t="spb"/>
    <k n="Population: Income share highest 20%" t="spb"/>
    <k n="Gross primary education enrollment (%)" t="spb"/>
    <k n="Gross tertiary education enrollment (%)" t="spb"/>
    <k n="Population: Labor force participation (%)" t="spb"/>
  </s>
  <s>
    <k n="Area" t="spb"/>
    <k n="Name" t="spb"/>
    <k n="Population" t="spb"/>
    <k n="UniqueName" t="spb"/>
    <k n="Description" t="spb"/>
    <k n="Abbreviation" t="spb"/>
    <k n="Country/region" t="spb"/>
  </s>
  <s>
    <k n="Area" t="s"/>
    <k n="Population" t="s"/>
  </s>
  <s>
    <k n="Area" t="spb"/>
    <k n="Name" t="spb"/>
    <k n="Latitude" t="spb"/>
    <k n="Longitude" t="spb"/>
    <k n="Population" t="spb"/>
    <k n="UniqueName" t="spb"/>
    <k n="Description" t="spb"/>
    <k n="Country/region" t="spb"/>
    <k n="Admin Division 1 (State/province/other)" t="spb"/>
  </s>
  <s>
    <k n="CPI" t="spb"/>
    <k n="GDP" t="spb"/>
    <k n="Area" t="spb"/>
    <k n="Name" t="spb"/>
    <k n="Birth rate" t="spb"/>
    <k n="Population" t="spb"/>
    <k n="UniqueName" t="spb"/>
    <k n="Description" t="spb"/>
    <k n="Abbreviation" t="spb"/>
    <k n="Calling code" t="spb"/>
    <k n="Minimum wage" t="spb"/>
    <k n="Official name" t="spb"/>
    <k n="CPI Change (%)" t="spb"/>
    <k n="Fertility rate" t="spb"/>
    <k n="Gasoline price" t="spb"/>
    <k n="Total tax rate" t="spb"/>
    <k n="Life expectancy" t="spb"/>
    <k n="National anthem" t="spb"/>
    <k n="Tax revenue (%)" t="spb"/>
    <k n="Infant mortality" t="spb"/>
    <k n="Urban population" t="spb"/>
    <k n="Armed forces size" t="spb"/>
    <k n="Forested area (%)" t="spb"/>
    <k n="Unemployment rate" t="spb"/>
    <k n="Capital/Major City" t="spb"/>
    <k n="Agricultural land (%)" t="spb"/>
    <k n="Physicians per thousand" t="spb"/>
    <k n="Carbon dioxide emissions" t="spb"/>
    <k n="Maternal mortality ratio" t="spb"/>
    <k n="Electric power consumption" t="spb"/>
    <k n="Fossil fuel energy consumption" t="spb"/>
    <k n="Market cap of listed companies" t="spb"/>
    <k n="Population: Income share third 20%" t="spb"/>
    <k n="Population: Income share fourth 20%" t="spb"/>
    <k n="Population: Income share lowest 10%" t="spb"/>
    <k n="Population: Income share lowest 20%" t="spb"/>
    <k n="Population: Income share second 20%" t="spb"/>
    <k n="Out of pocket health expenditure (%)" t="spb"/>
    <k n="Population: Income share highest 10%" t="spb"/>
    <k n="Population: Income share highest 20%" t="spb"/>
    <k n="Gross primary education enrollment (%)" t="spb"/>
    <k n="Gross tertiary education enrollment (%)" t="spb"/>
    <k n="Population: Labor force participation (%)" t="spb"/>
  </s>
  <s>
    <k n="Image" t="spb"/>
    <k n="ExchangeID" t="spb"/>
    <k n="UniqueName" t="spb"/>
    <k n="%ProviderInfo" t="spb"/>
    <k n="LearnMoreOnLink" t="spb"/>
  </s>
  <s>
    <k n="Low" t="i"/>
    <k n="P/E" t="i"/>
    <k n="Beta" t="i"/>
    <k n="High" t="i"/>
    <k n="Name" t="i"/>
    <k n="Open" t="i"/>
    <k n="Image" t="i"/>
    <k n="Price" t="i"/>
    <k n="Change" t="i"/>
    <k n="Volume" t="i"/>
    <k n="Employees" t="i"/>
    <k n="Change (%)" t="i"/>
    <k n="Market cap" t="i"/>
    <k n="52 week low" t="i"/>
    <k n="52 week high" t="i"/>
    <k n="Previous close" t="i"/>
    <k n="Volume average" t="i"/>
    <k n="Last trade time" t="i"/>
    <k n="`_DisplayString" t="i"/>
    <k n="Year incorporated" t="i"/>
    <k n="`%EntityServiceId" t="i"/>
    <k n="Shares outstanding" t="i"/>
    <k n="Price (Extended hours)" t="i"/>
    <k n="Change (Extended hours)" t="i"/>
    <k n="Change % (Extended hours)" t="i"/>
  </s>
  <s>
    <k n="Price" t="s"/>
    <k n="Change" t="s"/>
    <k n="Change (%)" t="s"/>
    <k n="ExchangeID" t="s"/>
    <k n="Last trade time" t="s"/>
    <k n="Price (Extended hours)" t="s"/>
    <k n="Change (Extended hours)" t="s"/>
    <k n="Change % (Extended hours)" t="s"/>
  </s>
  <s>
    <k n="name" t="s"/>
  </s>
  <s>
    <k n="Low" t="i"/>
    <k n="P/E" t="i"/>
    <k n="Beta" t="i"/>
    <k n="High" t="i"/>
    <k n="Name" t="i"/>
    <k n="Open" t="i"/>
    <k n="Image" t="i"/>
    <k n="Price" t="i"/>
    <k n="Change" t="i"/>
    <k n="Volume" t="i"/>
    <k n="Employees" t="i"/>
    <k n="Change (%)" t="i"/>
    <k n="Market cap" t="i"/>
    <k n="52 week low" t="i"/>
    <k n="52 week high" t="i"/>
    <k n="Previous close" t="i"/>
    <k n="Last trade time" t="i"/>
    <k n="`_DisplayString" t="i"/>
    <k n="Year incorporated" t="i"/>
    <k n="`%EntityServiceId" t="i"/>
    <k n="Shares outstanding" t="i"/>
  </s>
  <s>
    <k n="Price" t="s"/>
    <k n="Change" t="s"/>
    <k n="Change (%)" t="s"/>
    <k n="Last trade time" t="s"/>
  </s>
  <s>
    <k n="ExchangeID" t="spb"/>
    <k n="UniqueName" t="spb"/>
    <k n="%ProviderInfo" t="spb"/>
    <k n="LearnMoreOnLink" t="spb"/>
  </s>
  <s>
    <k n="Low" t="i"/>
    <k n="P/E" t="i"/>
    <k n="Beta" t="i"/>
    <k n="High" t="i"/>
    <k n="Name" t="i"/>
    <k n="Open" t="i"/>
    <k n="Price" t="i"/>
    <k n="Change" t="i"/>
    <k n="Volume" t="i"/>
    <k n="Employees" t="i"/>
    <k n="Change (%)" t="i"/>
    <k n="Market cap" t="i"/>
    <k n="52 week low" t="i"/>
    <k n="52 week high" t="i"/>
    <k n="Previous close" t="i"/>
    <k n="Last trade time" t="i"/>
    <k n="`_DisplayString" t="i"/>
    <k n="Year incorporated" t="i"/>
    <k n="`%EntityServiceId" t="i"/>
    <k n="Shares outstanding" t="i"/>
  </s>
  <s>
    <k n="Low" t="i"/>
    <k n="P/E" t="i"/>
    <k n="Beta" t="i"/>
    <k n="High" t="i"/>
    <k n="Name" t="i"/>
    <k n="Open" t="i"/>
    <k n="Price" t="i"/>
    <k n="Change" t="i"/>
    <k n="Volume" t="i"/>
    <k n="Change (%)" t="i"/>
    <k n="Market cap" t="i"/>
    <k n="52 week low" t="i"/>
    <k n="52 week high" t="i"/>
    <k n="Previous close" t="i"/>
    <k n="Last trade time" t="i"/>
    <k n="`_DisplayString" t="i"/>
    <k n="Year incorporated" t="i"/>
    <k n="`%EntityServiceId" t="i"/>
    <k n="Shares outstanding" t="i"/>
  </s>
  <s>
    <k n="P/E" t="i"/>
    <k n="Beta" t="i"/>
    <k n="Name" t="i"/>
    <k n="Price" t="i"/>
    <k n="Change" t="i"/>
    <k n="Volume" t="i"/>
    <k n="Employees" t="i"/>
    <k n="Change (%)" t="i"/>
    <k n="Market cap" t="i"/>
    <k n="52 week low" t="i"/>
    <k n="52 week high" t="i"/>
    <k n="Previous close" t="i"/>
    <k n="Last trade time" t="i"/>
    <k n="`_DisplayString" t="i"/>
    <k n="Year incorporated" t="i"/>
    <k n="`%EntityServiceId" t="i"/>
    <k n="Shares outstanding" t="i"/>
  </s>
  <s>
    <k n="Low" t="i"/>
    <k n="Beta" t="i"/>
    <k n="High" t="i"/>
    <k n="Name" t="i"/>
    <k n="Open" t="i"/>
    <k n="Price" t="i"/>
    <k n="Change" t="i"/>
    <k n="Volume" t="i"/>
    <k n="Employees" t="i"/>
    <k n="Change (%)" t="i"/>
    <k n="Market cap" t="i"/>
    <k n="52 week low" t="i"/>
    <k n="52 week high" t="i"/>
    <k n="Previous close" t="i"/>
    <k n="Last trade time" t="i"/>
    <k n="`_DisplayString" t="i"/>
    <k n="Year incorporated" t="i"/>
    <k n="`%EntityServiceId" t="i"/>
    <k n="Shares outstanding" t="i"/>
  </s>
  <s>
    <k n="UniqueName" t="spb"/>
    <k n="%ProviderInfo" t="spb"/>
    <k n="LearnMoreOnLink" t="spb"/>
  </s>
  <s>
    <k n="Low" t="i"/>
    <k n="High" t="i"/>
    <k n="Name" t="i"/>
    <k n="Open" t="i"/>
    <k n="Price" t="i"/>
    <k n="Change" t="i"/>
    <k n="Volume" t="i"/>
    <k n="Change (%)" t="i"/>
    <k n="52 week low" t="i"/>
    <k n="52 week high" t="i"/>
    <k n="Previous close" t="i"/>
    <k n="Last trade time" t="i"/>
    <k n="`_DisplayString" t="i"/>
    <k n="`%EntityServiceId" t="i"/>
  </s>
  <s>
    <k n="Low" t="i"/>
    <k n="P/E" t="i"/>
    <k n="Beta" t="i"/>
    <k n="High" t="i"/>
    <k n="Name" t="i"/>
    <k n="Open" t="i"/>
    <k n="Price" t="i"/>
    <k n="Change" t="i"/>
    <k n="Volume" t="i"/>
    <k n="Employees" t="i"/>
    <k n="Change (%)" t="i"/>
    <k n="Market cap" t="i"/>
    <k n="52 week low" t="i"/>
    <k n="52 week high" t="i"/>
    <k n="Previous close" t="i"/>
    <k n="Last trade time" t="i"/>
    <k n="`_DisplayString" t="i"/>
    <k n="`%EntityServiceId" t="i"/>
    <k n="Shares outstanding" t="i"/>
  </s>
  <s>
    <k n="Low" t="i"/>
    <k n="Beta" t="i"/>
    <k n="High" t="i"/>
    <k n="Name" t="i"/>
    <k n="Open" t="i"/>
    <k n="Price" t="i"/>
    <k n="Change" t="i"/>
    <k n="Volume" t="i"/>
    <k n="Change (%)" t="i"/>
    <k n="Market cap" t="i"/>
    <k n="52 week low" t="i"/>
    <k n="52 week high" t="i"/>
    <k n="Expense ratio" t="i"/>
    <k n="Previous close" t="i"/>
    <k n="Last trade time" t="i"/>
    <k n="`_DisplayString" t="i"/>
    <k n="`%EntityServiceId" t="i"/>
  </s>
  <s>
    <k n="Low" t="i"/>
    <k n="Beta" t="i"/>
    <k n="High" t="i"/>
    <k n="Name" t="i"/>
    <k n="Open" t="i"/>
    <k n="Price" t="i"/>
    <k n="Change" t="i"/>
    <k n="Volume" t="i"/>
    <k n="Employees" t="i"/>
    <k n="Change (%)" t="i"/>
    <k n="Market cap" t="i"/>
    <k n="52 week low" t="i"/>
    <k n="52 week high" t="i"/>
    <k n="Previous close" t="i"/>
    <k n="Volume average" t="i"/>
    <k n="Last trade time" t="i"/>
    <k n="`_DisplayString" t="i"/>
    <k n="Year incorporated" t="i"/>
    <k n="`%EntityServiceId" t="i"/>
    <k n="Shares outstanding" t="i"/>
  </s>
  <s>
    <k n="P/E" t="i"/>
    <k n="Beta" t="i"/>
    <k n="Name" t="i"/>
    <k n="Open" t="i"/>
    <k n="Price" t="i"/>
    <k n="Change" t="i"/>
    <k n="Volume" t="i"/>
    <k n="Employees" t="i"/>
    <k n="Change (%)" t="i"/>
    <k n="Market cap" t="i"/>
    <k n="52 week low" t="i"/>
    <k n="52 week high" t="i"/>
    <k n="Previous close" t="i"/>
    <k n="Last trade time" t="i"/>
    <k n="`_DisplayString" t="i"/>
    <k n="Year incorporated" t="i"/>
    <k n="`%EntityServiceId" t="i"/>
    <k n="Shares outstanding" t="i"/>
  </s>
  <s>
    <k n="Price" t="s"/>
    <k n="Change" t="s"/>
    <k n="Change (%)" t="s"/>
    <k n="ExchangeID" t="s"/>
    <k n="Last trade time" t="s"/>
  </s>
  <s>
    <k n="Price" t="s"/>
    <k n="Change" t="s"/>
    <k n="Exchange" t="s"/>
    <k n="Change (%)" t="s"/>
    <k n="Last trade time" t="s"/>
  </s>
  <s>
    <k n="Low" t="i"/>
    <k n="Beta" t="i"/>
    <k n="High" t="i"/>
    <k n="Name" t="i"/>
    <k n="Open" t="i"/>
    <k n="Price" t="i"/>
    <k n="Change" t="i"/>
    <k n="Volume" t="i"/>
    <k n="Change (%)" t="i"/>
    <k n="Market cap" t="i"/>
    <k n="52 week low" t="i"/>
    <k n="52 week high" t="i"/>
    <k n="Expense ratio" t="i"/>
    <k n="Previous close" t="i"/>
    <k n="Volume average" t="i"/>
    <k n="Last trade time" t="i"/>
    <k n="`_DisplayString" t="i"/>
    <k n="`%EntityServiceId" t="i"/>
    <k n="Price (Extended hours)" t="i"/>
    <k n="Change (Extended hours)" t="i"/>
    <k n="Change % (Extended hours)" t="i"/>
  </s>
  <s>
    <k n="Price" t="s"/>
    <k n="Change" t="s"/>
    <k n="Exchange" t="s"/>
    <k n="Change (%)" t="s"/>
    <k n="Last trade time" t="s"/>
    <k n="Price (Extended hours)" t="s"/>
    <k n="Change (Extended hours)" t="s"/>
    <k n="Change % (Extended hours)" t="s"/>
  </s>
  <s>
    <k n="Low" t="i"/>
    <k n="P/E" t="i"/>
    <k n="Beta" t="i"/>
    <k n="High" t="i"/>
    <k n="Name" t="i"/>
    <k n="Open" t="i"/>
    <k n="Price" t="i"/>
    <k n="Change" t="i"/>
    <k n="Volume" t="i"/>
    <k n="Employees" t="i"/>
    <k n="Change (%)" t="i"/>
    <k n="Market cap" t="i"/>
    <k n="52 week low" t="i"/>
    <k n="52 week high" t="i"/>
    <k n="Previous close" t="i"/>
    <k n="Volume average" t="i"/>
    <k n="Last trade time" t="i"/>
    <k n="`_DisplayString" t="i"/>
    <k n="Year incorporated" t="i"/>
    <k n="`%EntityServiceId" t="i"/>
    <k n="Shares outstanding" t="i"/>
    <k n="Price (Extended hours)" t="i"/>
    <k n="Change (Extended hours)" t="i"/>
    <k n="Change % (Extended hours)" t="i"/>
  </s>
  <s>
    <k n="Low" t="i"/>
    <k n="High" t="i"/>
    <k n="Name" t="i"/>
    <k n="Open" t="i"/>
    <k n="Price" t="i"/>
    <k n="Change" t="i"/>
    <k n="Volume" t="i"/>
    <k n="Employees" t="i"/>
    <k n="Change (%)" t="i"/>
    <k n="Market cap" t="i"/>
    <k n="52 week low" t="i"/>
    <k n="52 week high" t="i"/>
    <k n="Previous close" t="i"/>
    <k n="Volume average" t="i"/>
    <k n="Last trade time" t="i"/>
    <k n="`_DisplayString" t="i"/>
    <k n="Year incorporated" t="i"/>
    <k n="`%EntityServiceId" t="i"/>
    <k n="Shares outstanding" t="i"/>
    <k n="Price (Extended hours)" t="i"/>
    <k n="Change (Extended hours)" t="i"/>
    <k n="Change % (Extended hours)" t="i"/>
  </s>
  <s>
    <k n="Low" t="i"/>
    <k n="P/E" t="i"/>
    <k n="High" t="i"/>
    <k n="Name" t="i"/>
    <k n="Open" t="i"/>
    <k n="Price" t="i"/>
    <k n="Change" t="i"/>
    <k n="Volume" t="i"/>
    <k n="Employees" t="i"/>
    <k n="Change (%)" t="i"/>
    <k n="Market cap" t="i"/>
    <k n="52 week low" t="i"/>
    <k n="52 week high" t="i"/>
    <k n="Previous close" t="i"/>
    <k n="Volume average" t="i"/>
    <k n="Last trade time" t="i"/>
    <k n="`_DisplayString" t="i"/>
    <k n="Year incorporated" t="i"/>
    <k n="`%EntityServiceId" t="i"/>
    <k n="Shares outstanding" t="i"/>
    <k n="Price (Extended hours)" t="i"/>
    <k n="Change (Extended hours)" t="i"/>
    <k n="Change % (Extended hours)" t="i"/>
  </s>
  <s>
    <k n="ExchangeID" t="spb"/>
    <k n="UniqueName" t="spb"/>
    <k n="%ProviderInfo" t="spb"/>
  </s>
  <s>
    <k n="Low" t="i"/>
    <k n="P/E" t="i"/>
    <k n="High" t="i"/>
    <k n="Name" t="i"/>
    <k n="Open" t="i"/>
    <k n="Image" t="i"/>
    <k n="Price" t="i"/>
    <k n="Change" t="i"/>
    <k n="Volume" t="i"/>
    <k n="Employees" t="i"/>
    <k n="Change (%)" t="i"/>
    <k n="Market cap" t="i"/>
    <k n="52 week low" t="i"/>
    <k n="52 week high" t="i"/>
    <k n="Previous close" t="i"/>
    <k n="Volume average" t="i"/>
    <k n="Last trade time" t="i"/>
    <k n="`_DisplayString" t="i"/>
    <k n="Year incorporated" t="i"/>
    <k n="`%EntityServiceId" t="i"/>
    <k n="Shares outstanding" t="i"/>
    <k n="Price (Extended hours)" t="i"/>
    <k n="Change (Extended hours)" t="i"/>
    <k n="Change % (Extended hours)" t="i"/>
  </s>
  <s>
    <k n="Name" t="i"/>
    <k n="`_DisplayString" t="i"/>
    <k n="`%EntityServiceId" t="i"/>
  </s>
  <s>
    <k n="Exchange" t="s"/>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27">
    <x:dxf>
      <x:numFmt numFmtId="183" formatCode="0.0%"/>
    </x:dxf>
    <x:dxf>
      <x:numFmt numFmtId="3" formatCode="#,##0"/>
    </x:dxf>
    <x:dxf>
      <x:numFmt numFmtId="2" formatCode="0.00"/>
    </x:dxf>
    <x:dxf>
      <x:numFmt numFmtId="1" formatCode="0"/>
    </x:dxf>
    <x:dxf>
      <x:numFmt numFmtId="4" formatCode="#,##0.00"/>
    </x:dxf>
    <x:dxf>
      <x:numFmt numFmtId="182" formatCode="0.0"/>
    </x:dxf>
    <x:dxf>
      <x:numFmt numFmtId="181" formatCode="_([$$-409]* #,##0.00_);_([$$-409]* \(#,##0.00\);_([$$-409]* &quot;-&quot;??_);_(@_)"/>
    </x:dxf>
    <x:dxf>
      <x:numFmt numFmtId="180" formatCode="_([$$-409]* #,##0_);_([$$-409]* \(#,##0\);_([$$-409]* &quot;-&quot;_);_(@_)"/>
    </x:dxf>
    <x:dxf>
      <x:numFmt numFmtId="14" formatCode="0.00%"/>
    </x:dxf>
    <x:dxf>
      <x:numFmt numFmtId="179" formatCode="_-[$$-1004]* #,##0.00_-;\-[$$-1004]* #,##0.00_-;_-[$$-1004]* &quot;-&quot;??_-;_-@_-"/>
    </x:dxf>
    <x:dxf>
      <x:numFmt numFmtId="27" formatCode="dd/mm/yyyy\ hh:mm"/>
    </x:dxf>
    <x:dxf>
      <x:numFmt numFmtId="178" formatCode="0.0000"/>
    </x:dxf>
    <x:dxf>
      <x:numFmt numFmtId="177" formatCode="_-[$$-1009]* #,##0_-;\-[$$-1009]* #,##0_-;_-[$$-1009]* &quot;-&quot;_-;_-@_-"/>
    </x:dxf>
    <x:dxf>
      <x:numFmt numFmtId="176" formatCode="_-[$$-C09]* #,##0.00_-;\-[$$-C09]* #,##0.00_-;_-[$$-C09]* &quot;-&quot;??_-;_-@_-"/>
    </x:dxf>
    <x:dxf>
      <x:numFmt numFmtId="175" formatCode="_-[$$-C09]* #,##0_-;\-[$$-C09]* #,##0_-;_-[$$-C09]* &quot;-&quot;_-;_-@_-"/>
    </x:dxf>
    <x:dxf>
      <x:numFmt numFmtId="174" formatCode="_-[$$-3C09]* #,##0.00_-;\-[$$-3C09]* #,##0.00_-;_-[$$-3C09]* &quot;-&quot;??_-;_-@_-"/>
    </x:dxf>
    <x:dxf>
      <x:numFmt numFmtId="173" formatCode="_-[$$-809]* #,##0_-;\-[$$-809]* #,##0_-;_-[$$-809]* &quot;-&quot;_-;_-@_-"/>
    </x:dxf>
    <x:dxf>
      <x:numFmt numFmtId="172" formatCode="_-[$$-3C09]* #,##0_-;\-[$$-3C09]* #,##0_-;_-[$$-3C09]* &quot;-&quot;_-;_-@_-"/>
    </x:dxf>
    <x:dxf>
      <x:numFmt numFmtId="19" formatCode="dd/mm/yyyy"/>
    </x:dxf>
    <x:dxf>
      <x:numFmt numFmtId="171" formatCode="_ [$¥-804]* #,##0.00_ ;_ [$¥-804]* \-#,##0.00_ ;_ [$¥-804]* &quot;-&quot;??_ ;_ @_ "/>
    </x:dxf>
    <x:dxf>
      <x:numFmt numFmtId="170" formatCode="_ [$¥-804]* #,##0_ ;_ [$¥-804]* \-#,##0_ ;_ [$¥-804]* &quot;-&quot;_ ;_ @_ "/>
    </x:dxf>
    <x:dxf>
      <x:numFmt numFmtId="169" formatCode="_-[$Rp-3809]* #,##0.00_-;\-[$Rp-3809]* #,##0.00_-;_-[$Rp-3809]* &quot;-&quot;??_-;_-@_-"/>
    </x:dxf>
    <x:dxf>
      <x:numFmt numFmtId="168" formatCode="_-[$Rp-3809]* #,##0_-;\-[$Rp-3809]* #,##0_-;_-[$Rp-3809]* &quot;-&quot;_-;_-@_-"/>
    </x:dxf>
    <x:dxf>
      <x:numFmt numFmtId="167" formatCode="_(* #,##0.00_);_(* \(#,##0.00\);_(* &quot;-&quot;??_);_(@_)"/>
    </x:dxf>
    <x:dxf>
      <x:numFmt numFmtId="166" formatCode="_-[$$-809]* #,##0.00_-;\-[$$-809]* #,##0.00_-;_-[$$-809]* &quot;-&quot;??_-;_-@_-"/>
    </x:dxf>
    <x:dxf>
      <x:numFmt numFmtId="165" formatCode="_-[$₱-3409]* #,##0.00_-;\-[$₱-3409]* #,##0.00_-;_-[$₱-3409]* &quot;-&quot;??_-;_-@_-"/>
    </x:dxf>
    <x:dxf>
      <x:numFmt numFmtId="164" formatCode="_-[$₱-3409]* #,##0_-;\-[$₱-3409]* #,##0_-;_-[$₱-3409]* &quot;-&quot;_-;_-@_-"/>
    </x:dxf>
  </dxfs>
  <richProperties>
    <rPr n="IsTitleField" t="b"/>
    <rPr n="IsHeroField" t="b"/>
    <rPr n="RequiresInlineAttribution" t="b"/>
    <rPr n="ShouldShowInCell" t="b"/>
  </richProperties>
  <richStyles>
    <rSty>
      <rpv i="0">1</rpv>
    </rSty>
    <rSty>
      <rpv i="1">1</rpv>
    </rSty>
    <rSty>
      <rpv i="2">1</rpv>
    </rSty>
    <rSty>
      <rpv i="3">1</rpv>
    </rSty>
    <rSty dxfid="0"/>
    <rSty dxfid="1"/>
    <rSty dxfid="2"/>
    <rSty dxfid="3"/>
    <rSty dxfid="4"/>
    <rSty dxfid="5"/>
    <rSty dxfid="6"/>
    <rSty dxfid="7"/>
    <rSty dxfid="8"/>
    <rSty dxfid="9"/>
    <rSty dxfid="10"/>
    <rSty dxfid="11"/>
    <rSty dxfid="12"/>
    <rSty dxfid="13"/>
    <rSty dxfid="14"/>
    <rSty dxfid="15"/>
    <rSty dxfid="16"/>
    <rSty dxfid="17"/>
    <rSty dxfid="18"/>
    <rSty dxfid="19"/>
    <rSty dxfid="20"/>
    <rSty dxfid="21"/>
    <rSty dxfid="22"/>
    <rSty dxfid="23"/>
    <rSty dxfid="24"/>
    <rSty dxfid="25"/>
    <rSty dxfid="26"/>
  </richStyles>
</richStyleShee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992FA5-D1C3-4B87-964A-5E9F8C3820B3}">
  <sheetPr codeName="MARKETS"/>
  <dimension ref="A1:AE165"/>
  <sheetViews>
    <sheetView tabSelected="1" workbookViewId="0">
      <selection activeCell="J20" sqref="J20"/>
    </sheetView>
  </sheetViews>
  <sheetFormatPr defaultColWidth="9.140625" defaultRowHeight="15" x14ac:dyDescent="0.25"/>
  <cols>
    <col min="1" max="1" width="14.7109375" style="89" bestFit="1" customWidth="1"/>
    <col min="2" max="2" width="69.85546875" style="23" bestFit="1" customWidth="1"/>
    <col min="3" max="3" width="13.42578125" style="23" bestFit="1" customWidth="1"/>
    <col min="4" max="4" width="18.85546875" style="24" bestFit="1" customWidth="1"/>
    <col min="5" max="5" width="12.85546875" style="24" hidden="1" customWidth="1"/>
    <col min="6" max="6" width="12.85546875" style="81" customWidth="1"/>
    <col min="7" max="7" width="9.7109375" style="4" customWidth="1"/>
    <col min="8" max="8" width="10.28515625" style="24" bestFit="1" customWidth="1"/>
    <col min="9" max="9" width="9.7109375" style="24" customWidth="1"/>
    <col min="10" max="10" width="15.85546875" style="24" bestFit="1" customWidth="1"/>
    <col min="11" max="11" width="9.7109375" style="24" customWidth="1"/>
    <col min="12" max="12" width="8.7109375" style="24" bestFit="1" customWidth="1"/>
    <col min="13" max="13" width="12.85546875" style="24" bestFit="1" customWidth="1"/>
    <col min="14" max="17" width="9.140625" style="24"/>
    <col min="18" max="18" width="9.140625" style="24" customWidth="1"/>
    <col min="19" max="19" width="13.7109375" style="4" bestFit="1" customWidth="1"/>
    <col min="20" max="20" width="11.42578125" style="4" bestFit="1" customWidth="1"/>
    <col min="21" max="22" width="9.140625" style="4"/>
    <col min="23" max="23" width="10.7109375" style="4" bestFit="1" customWidth="1"/>
    <col min="24" max="25" width="11.28515625" style="4" bestFit="1" customWidth="1"/>
    <col min="26" max="26" width="9.140625" style="4"/>
    <col min="27" max="27" width="11.28515625" style="4" bestFit="1" customWidth="1"/>
    <col min="28" max="16384" width="9.140625" style="4"/>
  </cols>
  <sheetData>
    <row r="1" spans="1:31" x14ac:dyDescent="0.25">
      <c r="A1" s="86" t="s">
        <v>0</v>
      </c>
      <c r="B1" s="1" t="s">
        <v>668</v>
      </c>
      <c r="C1" s="2" t="s">
        <v>8</v>
      </c>
      <c r="D1" s="2" t="s">
        <v>1</v>
      </c>
      <c r="E1" s="2" t="s">
        <v>2</v>
      </c>
      <c r="F1" s="92" t="s">
        <v>2</v>
      </c>
      <c r="G1" s="92" t="s">
        <v>764</v>
      </c>
      <c r="H1" s="2" t="s">
        <v>3</v>
      </c>
      <c r="I1" s="138" t="s">
        <v>758</v>
      </c>
      <c r="J1" s="138" t="s">
        <v>767</v>
      </c>
      <c r="K1" s="2" t="s">
        <v>4</v>
      </c>
      <c r="L1" s="2" t="s">
        <v>5</v>
      </c>
      <c r="M1" s="2" t="s">
        <v>6</v>
      </c>
      <c r="N1" s="2" t="s">
        <v>7</v>
      </c>
      <c r="O1" s="2" t="s">
        <v>9</v>
      </c>
      <c r="P1" s="2" t="s">
        <v>10</v>
      </c>
      <c r="Q1" s="178" t="s">
        <v>11</v>
      </c>
      <c r="R1" s="178"/>
      <c r="S1" s="178"/>
      <c r="T1" s="178"/>
      <c r="U1" s="179"/>
      <c r="V1" s="3" t="s">
        <v>12</v>
      </c>
      <c r="W1" s="81" t="s">
        <v>313</v>
      </c>
    </row>
    <row r="2" spans="1:31" x14ac:dyDescent="0.25">
      <c r="A2" s="87" t="str">
        <f>HYPERLINK("#"&amp;"AMEX!A1", "ASE / AMEX")</f>
        <v>ASE / AMEX</v>
      </c>
      <c r="B2" s="5" t="s">
        <v>14</v>
      </c>
      <c r="C2" s="6" t="str">
        <f t="shared" ref="C2:C17" ca="1" si="0">IF(WEEKDAY(NOW(),2)&lt;6,IF(OR(AND(IF(TIME(HOUR(NOW()),MINUTE(NOW()),0)&gt;=TIME(HOUR(K2),MINUTE(K2),0),TRUE,FALSE),IF(ISBLANK(L2),IF(TIME(HOUR(NOW()),MINUTE(NOW()),0)&gt;=TIME(HOUR(N2),MINUTE(N2),0),FALSE,TRUE),IF(TIME(HOUR(NOW()),MINUTE(NOW()),0)&lt;TIME(HOUR(L2),MINUTE(L2),0),TRUE,FALSE))),AND(IF(ISBLANK(M2),IF(TIME(HOUR(NOW()),MINUTE(NOW()),0)&gt;=TIME(HOUR(K2),MINUTE(K2),0),TRUE,FALSE),IF(TIME(HOUR(NOW()),MINUTE(NOW()),0)&gt;=TIME(HOUR(M2),MINUTE(M2),0),TRUE,FALSE)),IF(TIME(HOUR(NOW()),MINUTE(NOW()),0)&lt;TIME(HOUR(N2),MINUTE(N2),0),TRUE,FALSE))),"OPEN","CLOSED"),"CLOSED")</f>
        <v>CLOSED</v>
      </c>
      <c r="D2" s="8" t="e" vm="1">
        <v>#VALUE!</v>
      </c>
      <c r="E2" s="8" t="e" vm="2">
        <v>#VALUE!</v>
      </c>
      <c r="F2" s="8" t="str" cm="1">
        <f t="array" ref="F2">_FV(D2,"Currency Code",TRUE)</f>
        <v>USD</v>
      </c>
      <c r="G2" s="58" t="s">
        <v>765</v>
      </c>
      <c r="H2" s="155">
        <v>13</v>
      </c>
      <c r="I2" s="155" t="str">
        <f ca="1">TEXT(NOW()-TIME(13,0,0),"HH:mm AM/PM")</f>
        <v>05:47 AM</v>
      </c>
      <c r="J2" s="158" t="str">
        <f ca="1">TEXT(NOW()-TIME(12,0,0),"h:mm AM/PM")</f>
        <v>6:47 AM</v>
      </c>
      <c r="K2" s="7" t="str">
        <f ca="1">IF(TODAY()&lt;44507,"21:30","22:30")</f>
        <v>21:30</v>
      </c>
      <c r="L2" s="7"/>
      <c r="M2" s="7"/>
      <c r="N2" s="7" t="str">
        <f ca="1">IF(TODAY()&lt;44507,"04:00","05:00")</f>
        <v>04:00</v>
      </c>
      <c r="O2" s="9" cm="1">
        <f t="array" ref="O2">_FV(E2,"Price")</f>
        <v>1.3233999999999999</v>
      </c>
      <c r="P2" s="10" t="s">
        <v>15</v>
      </c>
      <c r="Q2" s="7">
        <v>0.89583333333333337</v>
      </c>
      <c r="R2" s="180" t="s">
        <v>16</v>
      </c>
      <c r="S2" s="180"/>
      <c r="T2" s="7">
        <v>0.16666666666666666</v>
      </c>
      <c r="U2" s="11" t="s">
        <v>17</v>
      </c>
      <c r="V2" s="12"/>
      <c r="W2" s="81" t="s">
        <v>314</v>
      </c>
      <c r="AA2" s="13" t="s">
        <v>18</v>
      </c>
      <c r="AB2" s="14" t="s">
        <v>19</v>
      </c>
      <c r="AC2" s="15"/>
    </row>
    <row r="3" spans="1:31" x14ac:dyDescent="0.25">
      <c r="A3" s="88" t="str">
        <f>HYPERLINK("#"&amp;"ASX!A1", "ASX")</f>
        <v>ASX</v>
      </c>
      <c r="B3" s="16" t="s">
        <v>21</v>
      </c>
      <c r="C3" s="6" t="str">
        <f t="shared" ca="1" si="0"/>
        <v>CLOSED</v>
      </c>
      <c r="D3" s="122" t="e" vm="3">
        <v>#VALUE!</v>
      </c>
      <c r="E3" s="17" t="e" vm="4">
        <v>#VALUE!</v>
      </c>
      <c r="F3" s="17" t="str" cm="1">
        <f t="array" ref="F3">_FV(D3,"Currency Code",TRUE)</f>
        <v>AUD</v>
      </c>
      <c r="G3" s="159" t="s">
        <v>766</v>
      </c>
      <c r="H3" s="156">
        <v>2</v>
      </c>
      <c r="I3" s="156" t="str">
        <f ca="1">TEXT(NOW()+TIME(3,0,0),"HH:mm AM/PM")</f>
        <v>09:47 PM</v>
      </c>
      <c r="J3" s="156" t="str">
        <f ca="1">TEXT(NOW()+TIME(2,0,0),"h:mm AM/PM")</f>
        <v>8:47 PM</v>
      </c>
      <c r="K3" s="17" t="str">
        <f ca="1">IF(TODAY()&lt;44472,"08:00","07:00")</f>
        <v>08:00</v>
      </c>
      <c r="L3" s="17"/>
      <c r="M3" s="17"/>
      <c r="N3" s="17" t="str">
        <f ca="1">IF(TODAY()&lt;44472,"14:00","13:00")</f>
        <v>14:00</v>
      </c>
      <c r="O3" s="18" cm="1">
        <f t="array" ref="O3">_FV(E3,"Price")</f>
        <v>1.0242</v>
      </c>
      <c r="P3" s="19" t="s">
        <v>22</v>
      </c>
      <c r="Q3" s="17">
        <v>0.33333333333333331</v>
      </c>
      <c r="R3" s="181" t="s">
        <v>757</v>
      </c>
      <c r="S3" s="181"/>
      <c r="T3" s="17">
        <v>0.58333333333333337</v>
      </c>
      <c r="U3" s="20" t="s">
        <v>17</v>
      </c>
      <c r="V3" s="21" t="s">
        <v>23</v>
      </c>
      <c r="W3" s="28" t="s">
        <v>20</v>
      </c>
      <c r="AA3" s="22">
        <v>44245</v>
      </c>
      <c r="AB3" s="23" t="s">
        <v>24</v>
      </c>
    </row>
    <row r="4" spans="1:31" x14ac:dyDescent="0.25">
      <c r="A4" s="87" t="str">
        <f>HYPERLINK("#"&amp;"BURSA!A1", "KLS(E) / BURSA")</f>
        <v>KLS(E) / BURSA</v>
      </c>
      <c r="B4" s="5" t="s">
        <v>26</v>
      </c>
      <c r="C4" s="6" t="str">
        <f t="shared" ca="1" si="0"/>
        <v>CLOSED</v>
      </c>
      <c r="D4" s="123" t="e" vm="5">
        <v>#VALUE!</v>
      </c>
      <c r="E4" s="7" t="e" vm="6">
        <v>#VALUE!</v>
      </c>
      <c r="F4" s="95" t="str" cm="1">
        <f t="array" ref="F4">_FV(D4,"Currency Code",TRUE)</f>
        <v>MYR</v>
      </c>
      <c r="G4" s="58" t="s">
        <v>766</v>
      </c>
      <c r="H4" s="155">
        <v>0</v>
      </c>
      <c r="I4" s="155"/>
      <c r="J4" s="155" t="str">
        <f ca="1">TEXT(NOW()+TIME(0,0,0),"h:mm AM/PM")</f>
        <v>6:47 PM</v>
      </c>
      <c r="K4" s="7">
        <v>0.375</v>
      </c>
      <c r="L4" s="7">
        <v>0.52083333333333337</v>
      </c>
      <c r="M4" s="7">
        <v>0.58333333333333337</v>
      </c>
      <c r="N4" s="7">
        <v>0.70833333333333337</v>
      </c>
      <c r="O4" s="9" cm="1">
        <f t="array" ref="O4">_FV(E4,"Price")</f>
        <v>0.32129999999999997</v>
      </c>
      <c r="P4" s="19" t="s">
        <v>22</v>
      </c>
      <c r="S4" s="24"/>
      <c r="T4" s="24"/>
      <c r="U4" s="25"/>
      <c r="V4" s="26"/>
      <c r="W4" s="81" t="s">
        <v>315</v>
      </c>
    </row>
    <row r="5" spans="1:31" x14ac:dyDescent="0.25">
      <c r="A5" s="88" t="str">
        <f>HYPERLINK("#"&amp;"HKG!A1", "HKG / HKEX")</f>
        <v>HKG / HKEX</v>
      </c>
      <c r="B5" s="16" t="s">
        <v>28</v>
      </c>
      <c r="C5" s="6" t="str">
        <f t="shared" ca="1" si="0"/>
        <v>CLOSED</v>
      </c>
      <c r="D5" s="27" t="e" vm="7">
        <v>#VALUE!</v>
      </c>
      <c r="E5" s="17" t="e" vm="8">
        <v>#VALUE!</v>
      </c>
      <c r="F5" s="17" t="str" cm="1">
        <f t="array" ref="F5">_FV(E5,"From currency",TRUE)</f>
        <v>HKD</v>
      </c>
      <c r="G5" s="159" t="s">
        <v>766</v>
      </c>
      <c r="H5" s="156">
        <v>0</v>
      </c>
      <c r="I5" s="156"/>
      <c r="J5" s="156" t="str">
        <f ca="1">TEXT(NOW()+TIME(0,0,0),"h:mm AM/PM")</f>
        <v>6:47 PM</v>
      </c>
      <c r="K5" s="17">
        <v>0.375</v>
      </c>
      <c r="L5" s="17">
        <v>0.5</v>
      </c>
      <c r="M5" s="17">
        <v>0.54166666666666663</v>
      </c>
      <c r="N5" s="17">
        <v>0.66666666666666663</v>
      </c>
      <c r="O5" s="18" cm="1">
        <f t="array" ref="O5">_FV(E5,"Price")</f>
        <v>0.1706</v>
      </c>
      <c r="P5" s="19" t="s">
        <v>22</v>
      </c>
      <c r="Q5" s="28"/>
      <c r="R5" s="28"/>
      <c r="S5" s="28"/>
      <c r="T5" s="28"/>
      <c r="U5" s="28"/>
      <c r="V5" s="29" t="s">
        <v>29</v>
      </c>
      <c r="W5" s="28" t="s">
        <v>316</v>
      </c>
      <c r="AA5" s="13" t="s">
        <v>760</v>
      </c>
      <c r="AB5" s="14" t="s">
        <v>759</v>
      </c>
      <c r="AC5" s="14"/>
      <c r="AD5" s="14"/>
      <c r="AE5" s="14"/>
    </row>
    <row r="6" spans="1:31" x14ac:dyDescent="0.25">
      <c r="A6" s="87" t="str">
        <f>HYPERLINK("#"&amp;"IDX!A1", "JKT / IDX")</f>
        <v>JKT / IDX</v>
      </c>
      <c r="B6" s="5" t="s">
        <v>31</v>
      </c>
      <c r="C6" s="6" t="str">
        <f t="shared" ca="1" si="0"/>
        <v>CLOSED</v>
      </c>
      <c r="D6" s="123" t="e" vm="9">
        <v>#VALUE!</v>
      </c>
      <c r="E6" s="7" t="e" vm="10">
        <v>#VALUE!</v>
      </c>
      <c r="F6" s="95" t="str" cm="1">
        <f t="array" ref="F6">_FV(D6,"Currency Code",TRUE)</f>
        <v>IDR</v>
      </c>
      <c r="G6" s="58" t="s">
        <v>765</v>
      </c>
      <c r="H6" s="155">
        <v>1</v>
      </c>
      <c r="I6" s="155"/>
      <c r="J6" s="155" t="str">
        <f ca="1">TEXT(NOW()-TIME(1,0,0),"h:mm AM/PM")</f>
        <v>5:47 PM</v>
      </c>
      <c r="K6" s="7">
        <v>0.41666666666666669</v>
      </c>
      <c r="L6" s="7" t="str">
        <f ca="1">IF(WEEKDAY(NOW(),2)=5,"12:30","13:00")</f>
        <v>13:00</v>
      </c>
      <c r="M6" s="7" t="str">
        <f ca="1">IF(WEEKDAY(NOW(),2)=5,"15:00","14:30")</f>
        <v>14:30</v>
      </c>
      <c r="N6" s="7">
        <v>0.70833333333333337</v>
      </c>
      <c r="O6" s="9" cm="1">
        <f t="array" ref="O6">_FV(E6,"Price")</f>
        <v>9.2800000000000006E-5</v>
      </c>
      <c r="P6" s="30" t="s">
        <v>32</v>
      </c>
      <c r="Q6" s="7">
        <v>0.41666666666666669</v>
      </c>
      <c r="R6" s="7">
        <v>0.52083333333333337</v>
      </c>
      <c r="S6" s="7">
        <v>0.625</v>
      </c>
      <c r="T6" s="7">
        <v>0.70833333333333337</v>
      </c>
      <c r="U6" s="11" t="s">
        <v>33</v>
      </c>
      <c r="V6" s="31" t="s">
        <v>34</v>
      </c>
      <c r="W6" s="81" t="s">
        <v>317</v>
      </c>
      <c r="AA6" s="22">
        <v>44356</v>
      </c>
      <c r="AB6" s="23" t="s">
        <v>761</v>
      </c>
    </row>
    <row r="7" spans="1:31" x14ac:dyDescent="0.25">
      <c r="A7" s="88" t="str">
        <f>HYPERLINK("#"&amp;"LSE!A1", "LSE")</f>
        <v>LSE</v>
      </c>
      <c r="B7" s="16" t="s">
        <v>37</v>
      </c>
      <c r="C7" s="6" t="str">
        <f t="shared" ca="1" si="0"/>
        <v>OPEN</v>
      </c>
      <c r="D7" s="27" t="e" vm="11">
        <v>#VALUE!</v>
      </c>
      <c r="E7" s="17" t="e" vm="12">
        <v>#VALUE!</v>
      </c>
      <c r="F7" s="17" t="str" cm="1">
        <f t="array" ref="F7">_FV(D7,"Currency Code",TRUE)</f>
        <v>GBP</v>
      </c>
      <c r="G7" s="159" t="s">
        <v>765</v>
      </c>
      <c r="H7" s="156">
        <v>7</v>
      </c>
      <c r="I7" s="156"/>
      <c r="J7" s="156" t="str">
        <f ca="1">TEXT(NOW()-TIME(7,0,0),"h:mm AM/PM")</f>
        <v>11:47 AM</v>
      </c>
      <c r="K7" s="17">
        <v>0.625</v>
      </c>
      <c r="L7" s="17"/>
      <c r="M7" s="17"/>
      <c r="N7" s="17">
        <v>0.97916666666666663</v>
      </c>
      <c r="O7" s="18" cm="1">
        <f t="array" ref="O7">_FV(E7,"Price")</f>
        <v>1.8742000000000001</v>
      </c>
      <c r="P7" s="19" t="s">
        <v>22</v>
      </c>
      <c r="Q7" s="28"/>
      <c r="R7" s="28"/>
      <c r="S7" s="28"/>
      <c r="T7" s="28"/>
      <c r="U7" s="28"/>
      <c r="V7" s="32" t="s">
        <v>38</v>
      </c>
      <c r="W7" s="28" t="s">
        <v>36</v>
      </c>
    </row>
    <row r="8" spans="1:31" x14ac:dyDescent="0.25">
      <c r="A8" s="87" t="str">
        <f>HYPERLINK("#"&amp;"NASDAQ!A1", "NMS / NASDAQ")</f>
        <v>NMS / NASDAQ</v>
      </c>
      <c r="B8" s="5" t="s">
        <v>40</v>
      </c>
      <c r="C8" s="6" t="str">
        <f t="shared" ca="1" si="0"/>
        <v>CLOSED</v>
      </c>
      <c r="D8" s="8" t="e" vm="1">
        <v>#VALUE!</v>
      </c>
      <c r="E8" s="8" t="e" vm="2">
        <v>#VALUE!</v>
      </c>
      <c r="F8" s="8" t="str" cm="1">
        <f t="array" ref="F8">_FV(D8,"Currency Code",TRUE)</f>
        <v>USD</v>
      </c>
      <c r="G8" s="58" t="s">
        <v>765</v>
      </c>
      <c r="H8" s="155">
        <v>13</v>
      </c>
      <c r="I8" s="155"/>
      <c r="J8" s="155" t="str">
        <f ca="1">TEXT(NOW()-TIME(12,0,0),"h:mm AM/PM")</f>
        <v>6:47 AM</v>
      </c>
      <c r="K8" s="7" t="str">
        <f ca="1">IF(TODAY()&lt;44507,"21:30","22:30")</f>
        <v>21:30</v>
      </c>
      <c r="L8" s="7"/>
      <c r="M8" s="7"/>
      <c r="N8" s="7" t="str">
        <f ca="1">IF(TODAY()&lt;44507,"04:00","05:00")</f>
        <v>04:00</v>
      </c>
      <c r="O8" s="9" cm="1">
        <f t="array" ref="O8">_FV(E8,"Price")</f>
        <v>1.3233999999999999</v>
      </c>
      <c r="P8" s="19" t="s">
        <v>22</v>
      </c>
      <c r="Q8" s="7">
        <v>0.89583333333333337</v>
      </c>
      <c r="R8" s="180" t="s">
        <v>16</v>
      </c>
      <c r="S8" s="180"/>
      <c r="T8" s="7">
        <v>0.16666666666666666</v>
      </c>
      <c r="U8" s="11" t="s">
        <v>17</v>
      </c>
      <c r="V8" s="31" t="s">
        <v>41</v>
      </c>
      <c r="W8" s="81" t="s">
        <v>324</v>
      </c>
    </row>
    <row r="9" spans="1:31" x14ac:dyDescent="0.25">
      <c r="A9" s="88" t="str">
        <f>HYPERLINK("#"&amp;"NYSE!A1", "NYS / NYSE")</f>
        <v>NYS / NYSE</v>
      </c>
      <c r="B9" s="16" t="s">
        <v>43</v>
      </c>
      <c r="C9" s="6" t="str">
        <f t="shared" ca="1" si="0"/>
        <v>CLOSED</v>
      </c>
      <c r="D9" s="33" t="e" vm="1">
        <v>#VALUE!</v>
      </c>
      <c r="E9" s="33" t="e" vm="2">
        <v>#VALUE!</v>
      </c>
      <c r="F9" s="33" t="str" cm="1">
        <f t="array" ref="F9">_FV(D9,"Currency Code",TRUE)</f>
        <v>USD</v>
      </c>
      <c r="G9" s="159" t="s">
        <v>765</v>
      </c>
      <c r="H9" s="157">
        <v>13</v>
      </c>
      <c r="I9" s="157"/>
      <c r="J9" s="157" t="str">
        <f ca="1">TEXT(NOW()-TIME(12,0,0),"h:mm AM/PM")</f>
        <v>6:47 AM</v>
      </c>
      <c r="K9" s="17" t="str">
        <f ca="1">IF(TODAY()&lt;44507,"21:30","22:30")</f>
        <v>21:30</v>
      </c>
      <c r="L9" s="17"/>
      <c r="M9" s="17"/>
      <c r="N9" s="17" t="str">
        <f ca="1">IF(TODAY()&lt;44507,"04:00","05:00")</f>
        <v>04:00</v>
      </c>
      <c r="O9" s="18" cm="1">
        <f t="array" ref="O9">_FV(E9,"Price")</f>
        <v>1.3233999999999999</v>
      </c>
      <c r="P9" s="10" t="s">
        <v>15</v>
      </c>
      <c r="Q9" s="17">
        <v>0.89583333333333337</v>
      </c>
      <c r="R9" s="182" t="s">
        <v>16</v>
      </c>
      <c r="S9" s="183"/>
      <c r="T9" s="17">
        <v>0.16666666666666666</v>
      </c>
      <c r="U9" s="21" t="s">
        <v>17</v>
      </c>
      <c r="V9" s="21" t="s">
        <v>44</v>
      </c>
      <c r="W9" s="28" t="s">
        <v>325</v>
      </c>
    </row>
    <row r="10" spans="1:31" x14ac:dyDescent="0.25">
      <c r="A10" s="87" t="str">
        <f>HYPERLINK("#"&amp;"PHS!A1", "PSE / PHS")</f>
        <v>PSE / PHS</v>
      </c>
      <c r="B10" s="5" t="s">
        <v>46</v>
      </c>
      <c r="C10" s="6" t="str">
        <f t="shared" ca="1" si="0"/>
        <v>CLOSED</v>
      </c>
      <c r="D10" s="6" t="e" vm="13">
        <v>#VALUE!</v>
      </c>
      <c r="E10" s="7" t="e" vm="14">
        <v>#VALUE!</v>
      </c>
      <c r="F10" s="95" t="str" cm="1">
        <f t="array" ref="F10">_FV(D10,"Currency Code",TRUE)</f>
        <v>PHP</v>
      </c>
      <c r="G10" s="58" t="s">
        <v>766</v>
      </c>
      <c r="H10" s="155">
        <v>0</v>
      </c>
      <c r="I10" s="155"/>
      <c r="J10" s="155" t="str">
        <f ca="1">TEXT(NOW()+TIME(0,0,0),"h:mm AM/PM")</f>
        <v>6:47 PM</v>
      </c>
      <c r="K10" s="7">
        <v>0.39583333333333331</v>
      </c>
      <c r="L10" s="7">
        <v>0.5</v>
      </c>
      <c r="M10" s="7">
        <v>0.5625</v>
      </c>
      <c r="N10" s="7">
        <v>0.64583333333333337</v>
      </c>
      <c r="O10" s="9" cm="1">
        <f t="array" ref="O10">_FV(E10,"Price")</f>
        <v>2.7720000000000002E-2</v>
      </c>
      <c r="P10" s="19" t="s">
        <v>22</v>
      </c>
      <c r="S10" s="24"/>
      <c r="T10" s="24"/>
      <c r="U10" s="24"/>
      <c r="V10" s="34" t="s">
        <v>47</v>
      </c>
      <c r="W10" s="81" t="s">
        <v>318</v>
      </c>
    </row>
    <row r="11" spans="1:31" x14ac:dyDescent="0.25">
      <c r="A11" s="88" t="str">
        <f>HYPERLINK("#"&amp;"SET!A1", "SET")</f>
        <v>SET</v>
      </c>
      <c r="B11" s="16" t="s">
        <v>49</v>
      </c>
      <c r="C11" s="6" t="str">
        <f t="shared" ca="1" si="0"/>
        <v>CLOSED</v>
      </c>
      <c r="D11" s="122" t="e" vm="15">
        <v>#VALUE!</v>
      </c>
      <c r="E11" s="17" t="e" vm="16">
        <v>#VALUE!</v>
      </c>
      <c r="F11" s="17" t="str" cm="1">
        <f t="array" ref="F11">_FV(D11,"Currency Code",TRUE)</f>
        <v>THB</v>
      </c>
      <c r="G11" s="159" t="s">
        <v>765</v>
      </c>
      <c r="H11" s="156">
        <v>1</v>
      </c>
      <c r="I11" s="156"/>
      <c r="J11" s="156" t="str">
        <f ca="1">TEXT(NOW()-TIME(1,0,0),"h:mm AM/PM")</f>
        <v>5:47 PM</v>
      </c>
      <c r="K11" s="17">
        <v>0.45833333333333331</v>
      </c>
      <c r="L11" s="17">
        <v>0.5625</v>
      </c>
      <c r="M11" s="17">
        <v>0.625</v>
      </c>
      <c r="N11" s="17">
        <v>0.75</v>
      </c>
      <c r="O11" s="18" cm="1">
        <f t="array" ref="O11">_FV(E11,"Price")</f>
        <v>4.2470000000000001E-2</v>
      </c>
      <c r="P11" s="30" t="s">
        <v>32</v>
      </c>
      <c r="Q11" s="28"/>
      <c r="R11" s="28"/>
      <c r="S11" s="28"/>
      <c r="T11" s="28"/>
      <c r="U11" s="28"/>
      <c r="V11" s="35"/>
      <c r="W11" s="28" t="s">
        <v>323</v>
      </c>
    </row>
    <row r="12" spans="1:31" x14ac:dyDescent="0.25">
      <c r="A12" s="87" t="str">
        <f>HYPERLINK("#"&amp;"SGX!A1", "SGX")</f>
        <v>SGX</v>
      </c>
      <c r="B12" s="5" t="s">
        <v>51</v>
      </c>
      <c r="C12" s="6" t="str">
        <f t="shared" ca="1" si="0"/>
        <v>CLOSED</v>
      </c>
      <c r="D12" s="6" t="e" vm="17">
        <v>#VALUE!</v>
      </c>
      <c r="E12" s="6" t="s">
        <v>52</v>
      </c>
      <c r="F12" s="95" t="str" cm="1">
        <f t="array" ref="F12">_FV(D12,"Currency Code",TRUE)</f>
        <v>SGD</v>
      </c>
      <c r="G12" s="58" t="s">
        <v>766</v>
      </c>
      <c r="H12" s="155">
        <v>0</v>
      </c>
      <c r="I12" s="155"/>
      <c r="J12" s="155" t="str">
        <f ca="1">TEXT(NOW()+TIME(0,0,0),"h:mm AM/PM")</f>
        <v>6:47 PM</v>
      </c>
      <c r="K12" s="7">
        <v>0.375</v>
      </c>
      <c r="L12" s="7">
        <v>0.5</v>
      </c>
      <c r="M12" s="7">
        <v>0.54166666666666663</v>
      </c>
      <c r="N12" s="7">
        <v>0.70833333333333337</v>
      </c>
      <c r="O12" s="9">
        <v>0</v>
      </c>
      <c r="P12" s="19" t="s">
        <v>22</v>
      </c>
      <c r="S12" s="24"/>
      <c r="T12" s="24"/>
      <c r="U12" s="24"/>
      <c r="V12" s="36"/>
      <c r="W12" s="81" t="s">
        <v>50</v>
      </c>
      <c r="AA12" s="4" t="s">
        <v>35</v>
      </c>
      <c r="AB12" s="4" t="s">
        <v>762</v>
      </c>
    </row>
    <row r="13" spans="1:31" x14ac:dyDescent="0.25">
      <c r="A13" s="88" t="str">
        <f>HYPERLINK("#"&amp;"SGXO!A1", "SGXO")</f>
        <v>SGXO</v>
      </c>
      <c r="B13" s="16" t="s">
        <v>54</v>
      </c>
      <c r="C13" s="6" t="str">
        <f t="shared" ca="1" si="0"/>
        <v>CLOSED</v>
      </c>
      <c r="D13" s="27" t="e" vm="17">
        <v>#VALUE!</v>
      </c>
      <c r="E13" s="27" t="s">
        <v>52</v>
      </c>
      <c r="F13" s="121" t="str" cm="1">
        <f t="array" ref="F13">_FV(D13,"Currency Code",TRUE)</f>
        <v>SGD</v>
      </c>
      <c r="G13" s="159" t="s">
        <v>766</v>
      </c>
      <c r="H13" s="157">
        <v>0</v>
      </c>
      <c r="I13" s="157"/>
      <c r="J13" s="156" t="str">
        <f ca="1">TEXT(NOW()+TIME(0,0,0),"h:mm AM/PM")</f>
        <v>6:47 PM</v>
      </c>
      <c r="K13" s="17">
        <v>0.375</v>
      </c>
      <c r="L13" s="17">
        <v>0.5</v>
      </c>
      <c r="M13" s="17">
        <v>0.54166666666666663</v>
      </c>
      <c r="N13" s="17">
        <v>0.70833333333333337</v>
      </c>
      <c r="O13" s="18">
        <v>0</v>
      </c>
      <c r="P13" s="19" t="s">
        <v>22</v>
      </c>
      <c r="Q13" s="28"/>
      <c r="R13" s="28"/>
      <c r="S13" s="28"/>
      <c r="T13" s="28"/>
      <c r="U13" s="28"/>
      <c r="V13" s="37"/>
      <c r="W13" s="28" t="s">
        <v>53</v>
      </c>
    </row>
    <row r="14" spans="1:31" x14ac:dyDescent="0.25">
      <c r="A14" s="87" t="str">
        <f>HYPERLINK("#"&amp;"SSEA!A1", "SSE A")</f>
        <v>SSE A</v>
      </c>
      <c r="B14" s="5" t="s">
        <v>56</v>
      </c>
      <c r="C14" s="6" t="str">
        <f t="shared" ca="1" si="0"/>
        <v>CLOSED</v>
      </c>
      <c r="D14" s="6" t="e" vm="18">
        <v>#VALUE!</v>
      </c>
      <c r="E14" s="7" t="e" vm="19">
        <v>#VALUE!</v>
      </c>
      <c r="F14" s="95" t="str" cm="1">
        <f t="array" ref="F14">_FV(E14,"From currency",TRUE)</f>
        <v>CNY</v>
      </c>
      <c r="G14" s="58" t="s">
        <v>766</v>
      </c>
      <c r="H14" s="155">
        <v>0</v>
      </c>
      <c r="I14" s="155"/>
      <c r="J14" s="155" t="str">
        <f ca="1">TEXT(NOW()+TIME(0,0,0),"h:mm AM/PM")</f>
        <v>6:47 PM</v>
      </c>
      <c r="K14" s="7">
        <v>0.39583333333333331</v>
      </c>
      <c r="L14" s="7">
        <v>0.47916666666666669</v>
      </c>
      <c r="M14" s="7">
        <v>0.54166666666666663</v>
      </c>
      <c r="N14" s="7">
        <v>0.625</v>
      </c>
      <c r="O14" s="9" cm="1">
        <f t="array" ref="O14">_FV(E14,"Price")</f>
        <v>0.2069</v>
      </c>
      <c r="P14" s="19" t="s">
        <v>22</v>
      </c>
      <c r="S14" s="24"/>
      <c r="T14" s="24"/>
      <c r="U14" s="24"/>
      <c r="V14" s="36"/>
      <c r="W14" s="81" t="s">
        <v>319</v>
      </c>
    </row>
    <row r="15" spans="1:31" x14ac:dyDescent="0.25">
      <c r="A15" s="88" t="str">
        <f>HYPERLINK("#"&amp;"SSEB!A1", "SSE / SSE B")</f>
        <v>SSE / SSE B</v>
      </c>
      <c r="B15" s="16" t="s">
        <v>58</v>
      </c>
      <c r="C15" s="6" t="str">
        <f t="shared" ca="1" si="0"/>
        <v>CLOSED</v>
      </c>
      <c r="D15" s="27" t="e" vm="20">
        <v>#VALUE!</v>
      </c>
      <c r="E15" s="17" t="e" vm="2">
        <v>#VALUE!</v>
      </c>
      <c r="F15" s="17" t="str" cm="1">
        <f t="array" ref="F15">_FV(E15,"From currency",TRUE)</f>
        <v>USD</v>
      </c>
      <c r="G15" s="159" t="s">
        <v>766</v>
      </c>
      <c r="H15" s="157">
        <v>0</v>
      </c>
      <c r="I15" s="157"/>
      <c r="J15" s="157" t="str">
        <f ca="1">TEXT(NOW()+TIME(0,0,0),"h:mm AM/PM")</f>
        <v>6:47 PM</v>
      </c>
      <c r="K15" s="17">
        <v>0.39583333333333331</v>
      </c>
      <c r="L15" s="17">
        <v>0.47916666666666669</v>
      </c>
      <c r="M15" s="17">
        <v>0.54166666666666663</v>
      </c>
      <c r="N15" s="17">
        <v>0.625</v>
      </c>
      <c r="O15" s="18" cm="1">
        <f t="array" ref="O15">_FV(E15,"Price")</f>
        <v>1.3233999999999999</v>
      </c>
      <c r="P15" s="19" t="s">
        <v>22</v>
      </c>
      <c r="Q15" s="28"/>
      <c r="R15" s="28"/>
      <c r="S15" s="28"/>
      <c r="T15" s="28"/>
      <c r="U15" s="28"/>
      <c r="V15" s="38"/>
      <c r="W15" s="28" t="s">
        <v>320</v>
      </c>
    </row>
    <row r="16" spans="1:31" x14ac:dyDescent="0.25">
      <c r="A16" s="87" t="str">
        <f>HYPERLINK("#"&amp;"SZSE!A1", "SZSE / SZSE B")</f>
        <v>SZSE / SZSE B</v>
      </c>
      <c r="B16" s="5" t="s">
        <v>60</v>
      </c>
      <c r="C16" s="6" t="str">
        <f t="shared" ca="1" si="0"/>
        <v>CLOSED</v>
      </c>
      <c r="D16" s="6" t="e" vm="21">
        <v>#VALUE!</v>
      </c>
      <c r="E16" s="7" t="e" vm="8">
        <v>#VALUE!</v>
      </c>
      <c r="F16" s="95" t="str" cm="1">
        <f t="array" ref="F16">_FV(E16,"From currency",TRUE)</f>
        <v>HKD</v>
      </c>
      <c r="G16" s="58" t="s">
        <v>766</v>
      </c>
      <c r="H16" s="155">
        <v>0</v>
      </c>
      <c r="I16" s="155"/>
      <c r="J16" s="155" t="str">
        <f ca="1">TEXT(NOW()+TIME(0,0,0),"h:mm AM/PM")</f>
        <v>6:47 PM</v>
      </c>
      <c r="K16" s="7">
        <v>0.39583333333333331</v>
      </c>
      <c r="L16" s="7">
        <v>0.47916666666666669</v>
      </c>
      <c r="M16" s="7">
        <v>0.54166666666666663</v>
      </c>
      <c r="N16" s="7">
        <v>0.625</v>
      </c>
      <c r="O16" s="9" cm="1">
        <f t="array" ref="O16">_FV(E16,"Price")</f>
        <v>0.1706</v>
      </c>
      <c r="P16" s="19" t="s">
        <v>22</v>
      </c>
      <c r="S16" s="24"/>
      <c r="T16" s="24"/>
      <c r="U16" s="24"/>
      <c r="V16" s="31" t="s">
        <v>61</v>
      </c>
      <c r="W16" s="81" t="s">
        <v>321</v>
      </c>
    </row>
    <row r="17" spans="1:23" x14ac:dyDescent="0.25">
      <c r="A17" s="88" t="str">
        <f>HYPERLINK("#"&amp;"TSE!A1", "JPX / TSE")</f>
        <v>JPX / TSE</v>
      </c>
      <c r="B17" s="16" t="s">
        <v>63</v>
      </c>
      <c r="C17" s="6" t="str">
        <f t="shared" ca="1" si="0"/>
        <v>CLOSED</v>
      </c>
      <c r="D17" s="122" t="e" vm="22">
        <v>#VALUE!</v>
      </c>
      <c r="E17" s="17" t="e" vm="23">
        <v>#VALUE!</v>
      </c>
      <c r="F17" s="122" t="str" cm="1">
        <f t="array" ref="F17">_FV(E17,"From currency",TRUE)</f>
        <v>JPY</v>
      </c>
      <c r="G17" s="159" t="s">
        <v>766</v>
      </c>
      <c r="H17" s="156">
        <v>1</v>
      </c>
      <c r="I17" s="156"/>
      <c r="J17" s="156" t="str">
        <f ca="1">TEXT(NOW()+TIME(1,0,0),"h:mm AM/PM")</f>
        <v>7:47 PM</v>
      </c>
      <c r="K17" s="17">
        <v>0.33333333333333331</v>
      </c>
      <c r="L17" s="17">
        <v>0.4375</v>
      </c>
      <c r="M17" s="17">
        <v>0.47916666666666669</v>
      </c>
      <c r="N17" s="17">
        <v>0.58333333333333337</v>
      </c>
      <c r="O17" s="18" cm="1">
        <f t="array" ref="O17">_FV(E17,"Price")</f>
        <v>1.209E-2</v>
      </c>
      <c r="P17" s="19" t="s">
        <v>22</v>
      </c>
      <c r="Q17" s="28"/>
      <c r="R17" s="28"/>
      <c r="S17" s="28"/>
      <c r="T17" s="28"/>
      <c r="U17" s="28"/>
      <c r="V17" s="35"/>
      <c r="W17" s="28" t="s">
        <v>322</v>
      </c>
    </row>
    <row r="19" spans="1:23" x14ac:dyDescent="0.25">
      <c r="D19" s="39" t="s">
        <v>64</v>
      </c>
      <c r="F19" s="81" t="str">
        <f ca="1">IF(HOUR(NOW())&lt;10,LEFT("0"&amp;HOUR(NOW()),2),HOUR(NOW())) &amp; ":" &amp; RIGHT("0"&amp;MINUTE(NOW()),2) &amp; IF(HOUR(NOW())&lt;13," AM"," PM")</f>
        <v>18:47 PM</v>
      </c>
      <c r="H19" s="39"/>
    </row>
    <row r="20" spans="1:23" x14ac:dyDescent="0.25">
      <c r="F20" s="96">
        <f ca="1">DATE(YEAR(NOW()),MONTH(NOW()),DAY(NOW()))</f>
        <v>44376</v>
      </c>
      <c r="H20" s="153"/>
      <c r="I20" s="39"/>
    </row>
    <row r="21" spans="1:23" ht="15.75" thickBot="1" x14ac:dyDescent="0.3">
      <c r="B21" s="124" t="s">
        <v>669</v>
      </c>
      <c r="H21" s="4"/>
    </row>
    <row r="22" spans="1:23" ht="15.75" thickBot="1" x14ac:dyDescent="0.3">
      <c r="F22" s="184" t="s">
        <v>65</v>
      </c>
      <c r="G22" s="185"/>
      <c r="H22" s="185"/>
      <c r="I22" s="185"/>
      <c r="J22" s="185"/>
      <c r="K22" s="186"/>
      <c r="M22" s="143"/>
    </row>
    <row r="23" spans="1:23" ht="15.75" thickBot="1" x14ac:dyDescent="0.3">
      <c r="A23" s="87" t="str">
        <f>HYPERLINK("#"&amp;"PHS!A1", "PSE / PHS")</f>
        <v>PSE / PHS</v>
      </c>
      <c r="B23" s="5" t="s">
        <v>46</v>
      </c>
      <c r="F23" s="187" t="str">
        <f ca="1">IF(WEEKDAY(NOW(),2)&lt;6,IF(OR(AND(IF(TIME(HOUR(NOW()),MINUTE(NOW()),0)&gt;=TIME(HOUR(G24),MINUTE(G24),0),TRUE,FALSE),IF(ISBLANK(H24),IF(TIME(HOUR(NOW()),MINUTE(NOW()),0)&gt;=TIME(HOUR(J24),MINUTE(J24),0),FALSE,TRUE),IF(TIME(HOUR(NOW()),MINUTE(NOW()),0)&lt;TIME(HOUR(H24),MINUTE(H24),0),TRUE,FALSE))),AND(IF(ISBLANK(I24),IF(TIME(HOUR(NOW()),MINUTE(NOW()),0)&gt;=TIME(HOUR(G24),MINUTE(G24),0),TRUE,FALSE),IF(TIME(HOUR(NOW()),MINUTE(NOW()),0)&gt;=TIME(HOUR(I24),MINUTE(I24),0),TRUE,FALSE)),IF(TIME(HOUR(NOW()),MINUTE(NOW()),0)&lt;TIME(HOUR(J24),MINUTE(J24),0),TRUE,FALSE))),"OPEN","CLOSED"),"CLOSED")</f>
        <v>CLOSED</v>
      </c>
      <c r="G23" s="188"/>
      <c r="H23" s="188"/>
      <c r="I23" s="188"/>
      <c r="J23" s="188"/>
      <c r="K23" s="189"/>
    </row>
    <row r="24" spans="1:23" ht="15.75" thickBot="1" x14ac:dyDescent="0.3">
      <c r="A24" s="88" t="str">
        <f>HYPERLINK("#"&amp;"SET!A1", "SET")</f>
        <v>SET</v>
      </c>
      <c r="B24" s="16" t="s">
        <v>49</v>
      </c>
      <c r="D24" s="24" t="s">
        <v>66</v>
      </c>
      <c r="F24" s="97"/>
      <c r="G24" s="40">
        <v>0.33333333333333331</v>
      </c>
      <c r="H24" s="41">
        <v>0.4375</v>
      </c>
      <c r="I24" s="42">
        <v>0.6875</v>
      </c>
      <c r="J24" s="41">
        <v>0.70833333333333337</v>
      </c>
      <c r="K24" s="43"/>
    </row>
    <row r="25" spans="1:23" ht="15.75" thickBot="1" x14ac:dyDescent="0.3">
      <c r="F25" s="44" t="str">
        <f ca="1">IF(TIME(HOUR(NOW()),MINUTE(NOW()),0)&lt;TIME(HOUR(G24),MINUTE(G24),0),"&lt;-- TRUE","FALSE --&gt;")</f>
        <v>FALSE --&gt;</v>
      </c>
      <c r="G25" s="45" t="str">
        <f ca="1">IF(TIME(HOUR(NOW()),MINUTE(NOW()),0)&gt;=TIME(HOUR(G24),MINUTE(G24),0),"TRUE --&gt;","&lt;-- FALSE")</f>
        <v>TRUE --&gt;</v>
      </c>
      <c r="H25" s="46" t="str">
        <f ca="1">IF(ISBLANK(H24),IF(TIME(HOUR(NOW()),MINUTE(NOW()),0)&gt;=TIME(HOUR(J24),MINUTE(J24),0),"FALSE --&gt;","&lt;-- TRUE"),IF(TIME(HOUR(NOW()),MINUTE(NOW()),0)&lt;TIME(HOUR(H24),MINUTE(H24),0),"&lt;-- TRUE","FALSE --&gt;"))</f>
        <v>FALSE --&gt;</v>
      </c>
      <c r="I25" s="45" t="str">
        <f ca="1">IF(ISBLANK(I24),IF(TIME(HOUR(NOW()),MINUTE(NOW()),0)&gt;=TIME(HOUR(G24),MINUTE(G24),0),"TRUE --&gt;","&lt;-- FALSE"),IF(TIME(HOUR(NOW()),MINUTE(NOW()),0)&gt;=TIME(HOUR(I24),MINUTE(I24),0),"TRUE --&gt;","&lt;-- FALSE"))</f>
        <v>TRUE --&gt;</v>
      </c>
      <c r="J25" s="46" t="str">
        <f ca="1">IF(TIME(HOUR(NOW()),MINUTE(NOW()),0)&lt;TIME(HOUR(J24),MINUTE(J24),0),"&lt;-- TRUE","FALSE --&gt;")</f>
        <v>FALSE --&gt;</v>
      </c>
      <c r="K25" s="47" t="str">
        <f ca="1">IF(TIME(HOUR(NOW()),MINUTE(NOW()),0)&gt;=TIME(HOUR(J24),MINUTE(J24),0),"TRUE --&gt;","&lt;-- FALSE")</f>
        <v>TRUE --&gt;</v>
      </c>
    </row>
    <row r="26" spans="1:23" ht="15.75" thickBot="1" x14ac:dyDescent="0.3">
      <c r="A26" s="88" t="str">
        <f>HYPERLINK("#"&amp;"SSEB!A1", "SSE / SSE B")</f>
        <v>SSE / SSE B</v>
      </c>
      <c r="B26" s="16" t="s">
        <v>58</v>
      </c>
      <c r="F26" s="98"/>
      <c r="G26" s="190" t="b">
        <f ca="1">IF(AND(IF(TIME(HOUR(NOW()),MINUTE(NOW()),0)&gt;=TIME(HOUR(G24),MINUTE(G24),0),TRUE,FALSE),IF(ISBLANK(H24),IF(TIME(HOUR(NOW()),MINUTE(NOW()),0)&gt;=TIME(HOUR(J24),MINUTE(J24),0),FALSE,TRUE),IF(TIME(HOUR(NOW()),MINUTE(NOW()),0)&lt;TIME(HOUR(H24),MINUTE(H24),0),TRUE,FALSE))),"--&gt; TRUE &lt;--",FALSE)</f>
        <v>0</v>
      </c>
      <c r="H26" s="191"/>
      <c r="I26" s="190" t="b">
        <f ca="1">IF(AND(IF(ISBLANK(I24),IF(TIME(HOUR(NOW()),MINUTE(NOW()),0)&gt;=TIME(HOUR(G24),MINUTE(G24),0),TRUE,FALSE),IF(TIME(HOUR(NOW()),MINUTE(NOW()),0)&gt;=TIME(HOUR(I24),MINUTE(I24),0),TRUE,FALSE)),IF(TIME(HOUR(NOW()),MINUTE(NOW()),0)&lt;TIME(HOUR(J24),MINUTE(J24),0),TRUE,FALSE)),"--&gt; TRUE &lt;--",FALSE)</f>
        <v>0</v>
      </c>
      <c r="J26" s="191"/>
      <c r="K26" s="48"/>
    </row>
    <row r="27" spans="1:23" ht="15.75" thickBot="1" x14ac:dyDescent="0.3">
      <c r="A27" s="87" t="str">
        <f>HYPERLINK("#"&amp;"SZSE!A1", "SZSE / SZSE B")</f>
        <v>SZSE / SZSE B</v>
      </c>
      <c r="B27" s="5" t="s">
        <v>60</v>
      </c>
      <c r="F27" s="98"/>
      <c r="G27" s="49"/>
      <c r="H27" s="50" t="str">
        <f ca="1">IF(TIME(HOUR(NOW()),MINUTE(NOW()),0)&gt;=TIME(HOUR(H24),MINUTE(H24),0),"TRUE --&gt;","&lt;-- FALSE")</f>
        <v>TRUE --&gt;</v>
      </c>
      <c r="I27" s="51" t="str">
        <f ca="1">IF(TIME(HOUR(NOW()),MINUTE(NOW()),0)&lt;TIME(HOUR(I24),MINUTE(I24),0),"&lt;-- TRUE","FALSE --&gt;")</f>
        <v>FALSE --&gt;</v>
      </c>
      <c r="J27" s="49"/>
      <c r="K27" s="48"/>
      <c r="R27" s="4"/>
    </row>
    <row r="28" spans="1:23" ht="15.75" thickBot="1" x14ac:dyDescent="0.3">
      <c r="F28" s="99"/>
      <c r="G28" s="52"/>
      <c r="H28" s="192" t="b">
        <f ca="1">AND(IF(TIME(HOUR(NOW()),MINUTE(NOW()),0)&gt;=TIME(HOUR(H24),MINUTE(H24),0),TRUE,FALSE),IF(TIME(HOUR(NOW()),MINUTE(NOW()),0)&lt;=TIME(HOUR(I24),MINUTE(I24),0),"--&gt; TRUE &lt;--",FALSE))</f>
        <v>0</v>
      </c>
      <c r="I28" s="193"/>
      <c r="J28" s="52"/>
      <c r="K28" s="53"/>
      <c r="R28" s="4"/>
    </row>
    <row r="29" spans="1:23" x14ac:dyDescent="0.25">
      <c r="H29" s="4"/>
      <c r="R29" s="4"/>
    </row>
    <row r="30" spans="1:23" x14ac:dyDescent="0.25">
      <c r="G30" s="177" t="s">
        <v>763</v>
      </c>
      <c r="H30" s="177"/>
      <c r="I30" s="177"/>
      <c r="J30" s="177"/>
      <c r="R30" s="4"/>
    </row>
    <row r="31" spans="1:23" s="24" customFormat="1" x14ac:dyDescent="0.25">
      <c r="A31" s="89"/>
      <c r="B31" s="23"/>
      <c r="C31" s="23"/>
      <c r="F31" s="81"/>
      <c r="G31" s="4"/>
      <c r="K31" s="49"/>
    </row>
    <row r="32" spans="1:23" x14ac:dyDescent="0.25">
      <c r="D32" s="83" t="s">
        <v>326</v>
      </c>
      <c r="E32" s="82"/>
      <c r="F32" s="134" t="s">
        <v>312</v>
      </c>
      <c r="G32" s="194" t="s">
        <v>812</v>
      </c>
      <c r="H32" s="194"/>
      <c r="R32" s="36"/>
    </row>
    <row r="33" spans="4:18" x14ac:dyDescent="0.25">
      <c r="D33" s="117" t="str" cm="1">
        <f t="array" ref="D33">_xlfn.IFNA(_xlfn.IFS(NOT(ISNA(INDEX(AMEX!A:F,MATCH(F32,AMEX!B:B,0),2))),INDEX(AMEX!A:F,MATCH(F32,AMEX!B:B,0),1) &amp; IF(ISBLANK(INDEX(AMEX!A:F,MATCH(F32,AMEX!B:B,0),5)),""," ("&amp;INDEX(AMEX!A:F,MATCH(F32,AMEX!B:B,0),5)&amp;")"),NOT(ISNA(INDEX(ASX!A:F,MATCH(F32,ASX!B:B,0),2))),INDEX(ASX!A:F,MATCH(F32,ASX!B:B,0),1) &amp; IF(ISBLANK(INDEX(ASX!A:F,MATCH(F32,ASX!B:B,0),5)),""," ("&amp;INDEX(ASX!A:F,MATCH(F32,ASX!B:B,0),5)&amp;")"),NOT(ISERROR(INDEX(BURSA!A:F,MATCH(VALUE(F32),BURSA!B:B,0),2))),INDEX(BURSA!A:F,MATCH(F32,BURSA!B:B,0),1) &amp; IF(ISBLANK(INDEX(BURSA!A:F,MATCH(F32,BURSA!B:B,0),5)),""," ("&amp;INDEX(BURSA!A:F,MATCH(F32,BURSA!B:B,0),5)&amp;")"),NOT(ISNA(INDEX(HKG!A:F,MATCH(F32,HKG!B:B,0),2))),INDEX(HKG!A:F,MATCH(F32,HKG!B:B,0),1) &amp; IF(ISBLANK(INDEX(HKG!A:F,MATCH(F32,HKG!B:B,0),5)),""," ("&amp;INDEX(HKG!A:F,MATCH(F32,HKG!B:B,0),5)&amp;")"),NOT(ISNA(INDEX(IDX!A:F,MATCH(F32,IDX!B:B,0),2))),INDEX(IDX!A:F,MATCH(F32,IDX!B:B,0),1) &amp; IF(ISBLANK(INDEX(IDX!A:F,MATCH(F32,IDX!B:B,0),5)),""," ("&amp;INDEX(IDX!A:F,MATCH(F32,IDX!B:B,0),5)&amp;")"),NOT(ISNA(INDEX(LSE!A:F,MATCH(F32,LSE!B:B,0),2))),INDEX(LSE!A:F,MATCH(F32,LSE!B:B,0),1) &amp; IF(ISBLANK(INDEX(LSE!A:F,MATCH(F32,LSE!B:B,0),5)),""," ("&amp;INDEX(LSE!A:F,MATCH(F32,LSE!B:B,0),5)&amp;")"),NOT(ISNA(INDEX(NASDAQ!A:F,MATCH(F32,NASDAQ!B:B,0),2))),INDEX(NASDAQ!A:F,MATCH(F32,NASDAQ!B:B,0),1) &amp; IF(ISBLANK(INDEX(NASDAQ!A:F,MATCH(F32,NASDAQ!B:B,0),5)),""," ("&amp;INDEX(NASDAQ!A:F,MATCH(F32,NASDAQ!B:B,0),5)&amp;")"),NOT(ISNA(INDEX(NYSE!A:F,MATCH(F32,NYSE!B:B,0),2))),INDEX(NYSE!A:F,MATCH(F32,NYSE!B:B,0),1) &amp; IF(ISBLANK(INDEX(NYSE!A:F,MATCH(F32,NYSE!B:B,0),5)),""," ("&amp;INDEX(NYSE!A:F,MATCH(F32,NYSE!B:B,0),5)&amp;")"),NOT(ISNA(INDEX(PHS!A:F,MATCH(F32,PHS!B:B,0),2))),INDEX(PHS!A:F,MATCH(F32,PHS!B:B,0),1) &amp; IF(ISBLANK(INDEX(PHS!A:F,MATCH(F32,PHS!B:B,0),5)),""," ("&amp;INDEX(PHS!A:F,MATCH(F32,PHS!B:B,0),5)&amp;")"),NOT(ISNA(INDEX(SET!A:F,MATCH(F32,SET!B:B,0),2))),INDEX(SET!A:F,MATCH(F32,SET!B:B,0),1) &amp; IF(ISBLANK(INDEX(SET!A:F,MATCH(F32,SET!B:B,0),5)),""," ("&amp;INDEX(SET!A:F,MATCH(F32,SET!B:B,0),5)&amp;")"),NOT(ISNA(INDEX(SGX!A:F,MATCH(F32,SGX!B:B,0),2))),INDEX(SGX!A:F,MATCH(F32,SGX!B:B,0),1) &amp; IF(ISBLANK(INDEX(SGX!A:F,MATCH(F32,SGX!B:B,0),5)),""," ("&amp;INDEX(SGX!A:F,MATCH(F32,SGX!B:B,0),5)&amp;")"),NOT(ISNA(INDEX(SGXO!A:F,MATCH(F32,SGXO!B:B,0),2))),INDEX(SGXO!A:F,MATCH(F32,SGXO!B:B,0),1) &amp; IF(ISBLANK(INDEX(SGXO!A:F,MATCH(F32,SGXO!B:B,0),5)),""," ("&amp;INDEX(SGXO!A:F,MATCH(F32,SGXO!B:B,0),5)&amp;")"),NOT(ISERROR(INDEX(SSEA!A:F,MATCH(VALUE(F32),SSEA!B:B,0),2))),INDEX(SSEA!A:F,MATCH(F32,SSEA!B:B,0),1) &amp; IF(ISBLANK(INDEX(SSEA!A:F,MATCH(F32,SSEA!B:B,0),5)),""," ("&amp;INDEX(SSEA!A:F,MATCH(F32,SSEA!B:B,0),5)&amp;")"),NOT(ISERROR(INDEX(SSEB!A:F,MATCH(VALUE(F32),SSEB!B:B,0),2))),INDEX(SSEB!A:F,MATCH(F32,SSEB!B:B,0),1) &amp; IF(ISBLANK(INDEX(SSEB!A:F,MATCH(F32,SSEB!B:B,0),5)),""," ("&amp;INDEX(SSEB!A:F,MATCH(F32,SSEB!B:B,0),5)&amp;")"),NOT(ISERROR(INDEX(SZSE!A:F,MATCH(VALUE(F32),SZSE!B:B,0),2))),INDEX(SZSE!A:F,MATCH(F32,SZSE!B:B,0),1) &amp; IF(ISBLANK(INDEX(SZSE!A:F,MATCH(F32,SZSE!B:B,0),5)),""," ("&amp;INDEX(SZSE!A:F,MATCH(F32,SZSE!B:B,0),5)&amp;")"),NOT(ISERROR(INDEX(TSE!A:F,MATCH(VALUE(F32),TSE!B:B,0),2))),INDEX(TSE!A:F,MATCH(F32,TSE!B:B,0),1) &amp; IF(ISBLANK(INDEX(TSE!A:F,MATCH(F32,TSE!B:B,0),5)),""," ("&amp;INDEX(TSE!A:F,MATCH(F32,TSE!B:B,0),5)&amp;")")),"NOT FOUND")&amp;":"</f>
        <v>STOCK:</v>
      </c>
      <c r="F33" s="116" t="str" cm="1">
        <f t="array" ref="F33">_xlfn.IFNA(_xlfn.IFS(NOT(ISNA(INDEX(AMEX!A:F,MATCH(F32,AMEX!B:B,0),2))),INDEX(AMEX!A:F,MATCH(F32,AMEX!B:B,0),3),NOT(ISNA(INDEX(ASX!A:F,MATCH(F32,ASX!B:B,0),2))),INDEX(ASX!A:F,MATCH(F32,ASX!B:B,0),3),NOT(ISERROR(INDEX(BURSA!A:F,MATCH(_xlfn.NUMBERVALUE(VALUE(F32)),BURSA!B:B,0),2))),INDEX(BURSA!A:F,MATCH(F32,BURSA!B:B,0),3),NOT(ISNA(INDEX(HKG!A:F,MATCH(F32,HKG!B:B,0),2))),INDEX(HKG!A:F,MATCH(F32,HKG!B:B,0),3),NOT(ISNA(INDEX(IDX!A:F,MATCH(F32,IDX!B:B,0),2))),INDEX(IDX!A:F,MATCH(F32,IDX!B:B,0),3),NOT(ISNA(INDEX(LSE!A:F,MATCH(F32,LSE!B:B,0),2))),INDEX(LSE!A:F,MATCH(F32,LSE!B:B,0),3),NOT(ISNA(INDEX(NASDAQ!A:F,MATCH(F32,NASDAQ!B:B,0),2))),INDEX(NASDAQ!A:F,MATCH(F32,NASDAQ!B:B,0),3),NOT(ISNA(INDEX(NYSE!A:F,MATCH(F32,NYSE!B:B,0),2))),INDEX(NYSE!A:F,MATCH(F32,NYSE!B:B,0),3),NOT(ISNA(INDEX(PHS!A:F,MATCH(F32,PHS!B:B,0),2))),INDEX(PHS!A:F,MATCH(F32,PHS!B:B,0),3),NOT(ISNA(INDEX(SET!A:F,MATCH(F32,SET!B:B,0),2))),INDEX(SET!A:F,MATCH(F32,SET!B:B,0),3),NOT(ISNA(INDEX(SGX!A:F,MATCH(F32,SGX!B:B,0),2))),INDEX(SGX!A:F,MATCH(F32,SGX!B:B,0),3),NOT(ISNA(INDEX(SGXO!A:F,MATCH(F32,SGXO!B:B,0),2))),INDEX(SGXO!A:F,MATCH(F32,SGXO!B:B,0),3),NOT(ISERROR(INDEX(SSEA!A:F,MATCH(_xlfn.NUMBERVALUE(VALUE(F32)),SSEA!B:B,0),2))),INDEX(SSEA!A:F,MATCH(F32,SSEA!B:B,0),3),NOT(ISERROR(INDEX(SSEB!A:F,MATCH(_xlfn.NUMBERVALUE(VALUE(F32)),SSEB!B:B,0),2))),INDEX(SSEB!A:F,MATCH(F32,SSEB!B:B,0),3),NOT(ISERROR(INDEX(SZSE!A:F,MATCH(_xlfn.NUMBERVALUE(VALUE(F32)),SZSE!B:B,0),2))),INDEX(SZSE!A:F,MATCH(F32,SZSE!B:B,0),3),NOT(ISERROR(INDEX(TSE!A:F,MATCH(_xlfn.NUMBERVALUE(VALUE(F32)),TSE!B:B,0),2))),INDEX(TSE!A:F,MATCH(F32,TSE!B:B,0),3)),"NOT FOUND")</f>
        <v>NORTHERN OIL&amp;GAS</v>
      </c>
      <c r="K33" s="4"/>
      <c r="R33" s="4"/>
    </row>
    <row r="34" spans="4:18" x14ac:dyDescent="0.25">
      <c r="D34" s="117" t="s">
        <v>811</v>
      </c>
      <c r="R34" s="4"/>
    </row>
    <row r="35" spans="4:18" x14ac:dyDescent="0.25">
      <c r="D35" s="117" t="s">
        <v>664</v>
      </c>
      <c r="F35" s="23" cm="1">
        <f t="array" ref="F35">_xlfn.IFNA(_xlfn.IFS(NOT(ISNA(INDEX(AMEX!A:F,MATCH(F32,AMEX!B:B,0),2))),INDEX(AMEX!A:F,MATCH(F32,AMEX!B:B,0),4),NOT(ISNA(INDEX(ASX!A:F,MATCH(F32,ASX!B:B,0),2))),INDEX(ASX!A:F,MATCH(F32,ASX!B:B,0),4),NOT(ISERROR(INDEX(BURSA!A:F,MATCH(VALUE(F32),BURSA!B:B,0),2))),INDEX(BURSA!A:F,MATCH(F32,BURSA!B:B,0),4),NOT(ISNA(INDEX(HKG!A:F,MATCH(F32,HKG!B:B,0),2))),INDEX(HKG!A:F,MATCH(F32,HKG!B:B,0),4),NOT(ISNA(INDEX(IDX!A:F,MATCH(F32,IDX!B:B,0),2))),INDEX(IDX!A:F,MATCH(F32,IDX!B:B,0),4),NOT(ISNA(INDEX(LSE!A:F,MATCH(F32,LSE!B:B,0),2))),INDEX(LSE!A:F,MATCH(F32,LSE!B:B,0),4),NOT(ISNA(INDEX(NASDAQ!A:F,MATCH(F32,NASDAQ!B:B,0),2))),INDEX(NASDAQ!A:F,MATCH(F32,NASDAQ!B:B,0),4),NOT(ISNA(INDEX(NYSE!A:F,MATCH(F32,NYSE!B:B,0),2))),INDEX(NYSE!A:F,MATCH(F32,NYSE!B:B,0),4),NOT(ISNA(INDEX(PHS!A:F,MATCH(F32,PHS!B:B,0),2))),INDEX(PHS!A:F,MATCH(F32,PHS!B:B,0),4),NOT(ISNA(INDEX(SET!A:F,MATCH(F32,SET!B:B,0),2))),INDEX(SET!A:F,MATCH(F32,SET!B:B,0),4),NOT(ISNA(INDEX(SGX!A:F,MATCH(F32,SGX!B:B,0),2))),INDEX(SGX!A:F,MATCH(F32,SGX!B:B,0),4),NOT(ISNA(INDEX(SGXO!A:F,MATCH(F32,SGXO!B:B,0),2))),INDEX(SGXO!A:F,MATCH(F32,SGXO!B:B,0),4),NOT(ISERROR(INDEX(SSEA!A:F,MATCH(VALUE(F32),SSEA!B:B,0),2))),INDEX(SSEA!A:F,MATCH(F32,SSEA!B:B,0),4),NOT(ISERROR(INDEX(SSEB!A:F,MATCH(VALUE(F32),SSEB!B:B,0),2))),INDEX(SSEB!A:F,MATCH(F32,SSEB!B:B,0),4),NOT(ISERROR(INDEX(SZSE!A:F,MATCH(VALUE(F32),SZSE!B:B,0),2))),INDEX(SZSE!A:F,MATCH(F32,SZSE!B:B,0),4),NOT(ISERROR(INDEX(TSE!A:F,MATCH(VALUE(F32),TSE!B:B,0),2))),INDEX(TSE!A:F,MATCH(F32,TSE!B:B,0),4)),"NOT FOUND")</f>
        <v>1</v>
      </c>
      <c r="K35" s="4"/>
      <c r="R35" s="4"/>
    </row>
    <row r="36" spans="4:18" x14ac:dyDescent="0.25">
      <c r="D36" s="117" t="s">
        <v>663</v>
      </c>
      <c r="F36" s="116" t="str" cm="1">
        <f t="array" ref="F36">IF(ISBLANK(_xlfn.IFNA(_xlfn.IFS(NOT(ISNA(INDEX(AMEX!A:F,MATCH(F32,AMEX!B:B,0),2))),INDEX(AMEX!A:F,MATCH(F32,AMEX!B:B,0),6),NOT(ISNA(INDEX(ASX!A:F,MATCH(F32,ASX!B:B,0),2))),INDEX(ASX!A:F,MATCH(F32,ASX!B:B,0),6),NOT(ISERROR(INDEX(BURSA!A:F,MATCH(VALUE(F32),BURSA!B:B,0),2))),INDEX(BURSA!A:F,MATCH(F32,BURSA!B:B,0),6),NOT(ISNA(INDEX(HKG!A:F,MATCH(F32,HKG!B:B,0),2))),INDEX(HKG!A:F,MATCH(F32,HKG!B:B,0),6),NOT(ISNA(INDEX(IDX!A:F,MATCH(F32,IDX!B:B,0),2))),INDEX(IDX!A:F,MATCH(F32,IDX!B:B,0),6),NOT(ISNA(INDEX(LSE!A:F,MATCH(F32,LSE!B:B,0),2))),INDEX(LSE!A:F,MATCH(F32,LSE!B:B,0),6),NOT(ISNA(INDEX(NASDAQ!A:F,MATCH(F32,NASDAQ!B:B,0),2))),INDEX(NASDAQ!A:F,MATCH(F32,NASDAQ!B:B,0),6),NOT(ISNA(INDEX(NYSE!A:F,MATCH(F32,NYSE!B:B,0),2))),INDEX(NYSE!A:F,MATCH(F32,NYSE!B:B,0),6),NOT(ISNA(INDEX(PHS!A:F,MATCH(F32,PHS!B:B,0),2))),INDEX(PHS!A:F,MATCH(F32,PHS!B:B,0),6),NOT(ISNA(INDEX(SET!A:F,MATCH(F32,SET!B:B,0),2))),INDEX(SET!A:F,MATCH(F32,SET!B:B,0),6),NOT(ISNA(INDEX(SGX!A:F,MATCH(F32,SGX!B:B,0),2))),INDEX(SGX!A:F,MATCH(F32,SGX!B:B,0),6),NOT(ISNA(INDEX(SGXO!A:F,MATCH(F32,SGXO!B:B,0),2))),INDEX(SGXO!A:F,MATCH(F32,SGXO!B:B,0),4),NOT(ISERROR(INDEX(SSEA!A:F,MATCH(VALUE(F32),SSEA!B:B,0),2))),INDEX(SSEA!A:F,MATCH(F32,SSEA!B:B,0),6),NOT(ISERROR(INDEX(SSEB!A:F,MATCH(VALUE(F32),SSEB!B:B,0),2))),INDEX(SSEB!A:F,MATCH(F32,SSEB!B:B,0),6),NOT(ISERROR(INDEX(SZSE!A:F,MATCH(VALUE(F32),SZSE!B:B,0),2))),INDEX(SZSE!A:F,MATCH(F32,SZSE!B:B,0),6),NOT(ISERROR(INDEX(TSE!A:F,MATCH(VALUE(F32),TSE!B:B,0),2))),INDEX(TSE!A:F,MATCH(F32,TSE!B:B,0),6)),"NOT FOUND")),"Not Known",(_xlfn.IFNA(_xlfn.IFS(NOT(ISNA(INDEX(AMEX!A:F,MATCH(F32,AMEX!B:B,0),2))),INDEX(AMEX!A:F,MATCH(F32,AMEX!B:B,0),6),NOT(ISNA(INDEX(ASX!A:F,MATCH(F32,ASX!B:B,0),2))),INDEX(ASX!A:F,MATCH(F32,ASX!B:B,0),6),NOT(ISERROR(INDEX(BURSA!A:F,MATCH(VALUE(F32),BURSA!B:B,0),2))),INDEX(BURSA!A:F,MATCH(F32,BURSA!B:B,0),6),NOT(ISNA(INDEX(HKG!A:F,MATCH(F32,HKG!B:B,0),2))),INDEX(HKG!A:F,MATCH(F32,HKG!B:B,0),6),NOT(ISNA(INDEX(IDX!A:F,MATCH(F32,IDX!B:B,0),2))),INDEX(IDX!A:F,MATCH(F32,IDX!B:B,0),6),NOT(ISNA(INDEX(LSE!A:F,MATCH(F32,LSE!B:B,0),2))),INDEX(LSE!A:F,MATCH(F32,LSE!B:B,0),6),NOT(ISNA(INDEX(NASDAQ!A:F,MATCH(F32,NASDAQ!B:B,0),2))),INDEX(NASDAQ!A:F,MATCH(F32,NASDAQ!B:B,0),6),NOT(ISNA(INDEX(NYSE!A:F,MATCH(F32,NYSE!B:B,0),2))),INDEX(NYSE!A:F,MATCH(F32,NYSE!B:B,0),6),NOT(ISNA(INDEX(PHS!A:F,MATCH(F32,PHS!B:B,0),2))),INDEX(PHS!A:F,MATCH(F32,PHS!B:B,0),6),NOT(ISNA(INDEX(SET!A:F,MATCH(F32,SET!B:B,0),2))),INDEX(SET!A:F,MATCH(F32,SET!B:B,0),6),NOT(ISNA(INDEX(SGX!A:F,MATCH(F32,SGX!B:B,0),2))),INDEX(SGX!A:F,MATCH(F32,SGX!B:B,0),6),NOT(ISNA(INDEX(SGXO!A:F,MATCH(F32,SGXO!B:B,0),2))),INDEX(SGXO!A:F,MATCH(F32,SGXO!B:B,0),4),NOT(ISERROR(INDEX(SSEA!A:F,MATCH(VALUE(F32),SSEA!B:B,0),2))),INDEX(SSEA!A:F,MATCH(F32,SSEA!B:B,0),6),NOT(ISERROR(INDEX(SSEB!A:F,MATCH(VALUE(F32),SSEB!B:B,0),2))),INDEX(SSEB!A:F,MATCH(F32,SSEB!B:B,0),6),NOT(ISERROR(INDEX(SZSE!A:F,MATCH(VALUE(F32),SZSE!B:B,0),2))),INDEX(SZSE!A:F,MATCH(F32,SZSE!B:B,0),6),NOT(ISERROR(INDEX(TSE!A:F,MATCH(VALUE(F32),TSE!B:B,0),2))),INDEX(TSE!A:F,MATCH(F32,TSE!B:B,0),6)),"NOT FOUND")))</f>
        <v>Not Known</v>
      </c>
      <c r="H36" s="70"/>
      <c r="I36" s="118"/>
      <c r="J36" s="118"/>
      <c r="K36" s="70"/>
      <c r="L36" s="70"/>
      <c r="R36" s="4"/>
    </row>
    <row r="37" spans="4:18" x14ac:dyDescent="0.25">
      <c r="D37" s="154"/>
      <c r="E37" s="4"/>
      <c r="H37" s="119"/>
      <c r="I37" s="120"/>
      <c r="J37" s="120"/>
      <c r="K37" s="119"/>
      <c r="L37" s="119"/>
    </row>
    <row r="38" spans="4:18" x14ac:dyDescent="0.25">
      <c r="E38" s="4"/>
      <c r="H38" s="4"/>
    </row>
    <row r="39" spans="4:18" x14ac:dyDescent="0.25">
      <c r="H39" s="4"/>
    </row>
    <row r="40" spans="4:18" x14ac:dyDescent="0.25">
      <c r="D40" s="176" t="s">
        <v>505</v>
      </c>
      <c r="E40" s="176"/>
      <c r="F40" s="176"/>
      <c r="G40" s="176"/>
      <c r="H40" s="176"/>
      <c r="I40" s="176"/>
      <c r="J40" s="176"/>
    </row>
    <row r="42" spans="4:18" x14ac:dyDescent="0.25">
      <c r="D42" s="90" t="s">
        <v>495</v>
      </c>
      <c r="F42" s="94" t="s">
        <v>448</v>
      </c>
      <c r="G42" s="4" t="s">
        <v>501</v>
      </c>
      <c r="K42" s="4" t="s">
        <v>283</v>
      </c>
      <c r="L42" s="4"/>
      <c r="N42" s="24" t="s">
        <v>293</v>
      </c>
    </row>
    <row r="43" spans="4:18" x14ac:dyDescent="0.25">
      <c r="D43" s="90" t="s">
        <v>481</v>
      </c>
      <c r="F43" s="93" t="s">
        <v>67</v>
      </c>
      <c r="G43" s="4" t="s">
        <v>447</v>
      </c>
      <c r="K43" s="4" t="s">
        <v>307</v>
      </c>
      <c r="L43" s="4"/>
      <c r="N43" s="24" t="s">
        <v>294</v>
      </c>
    </row>
    <row r="44" spans="4:18" x14ac:dyDescent="0.25">
      <c r="D44" s="90" t="s">
        <v>495</v>
      </c>
      <c r="F44" s="94" t="s">
        <v>449</v>
      </c>
      <c r="G44" s="4" t="s">
        <v>451</v>
      </c>
      <c r="K44" s="4" t="s">
        <v>270</v>
      </c>
      <c r="L44" s="4"/>
      <c r="N44" s="24" t="s">
        <v>667</v>
      </c>
    </row>
    <row r="45" spans="4:18" x14ac:dyDescent="0.25">
      <c r="D45" s="90" t="s">
        <v>495</v>
      </c>
      <c r="F45" s="94" t="s">
        <v>450</v>
      </c>
      <c r="G45" s="4" t="s">
        <v>452</v>
      </c>
      <c r="K45" s="4" t="s">
        <v>290</v>
      </c>
      <c r="L45" s="4"/>
    </row>
    <row r="46" spans="4:18" x14ac:dyDescent="0.25">
      <c r="D46" s="90" t="s">
        <v>495</v>
      </c>
      <c r="F46" s="94" t="s">
        <v>68</v>
      </c>
      <c r="G46" s="4" t="s">
        <v>446</v>
      </c>
      <c r="K46" s="4" t="s">
        <v>291</v>
      </c>
      <c r="L46" s="4"/>
    </row>
    <row r="47" spans="4:18" x14ac:dyDescent="0.25">
      <c r="D47" s="133" t="s">
        <v>495</v>
      </c>
      <c r="F47" s="94" t="s">
        <v>754</v>
      </c>
      <c r="G47" s="4" t="s">
        <v>755</v>
      </c>
      <c r="K47" s="4" t="s">
        <v>292</v>
      </c>
      <c r="L47" s="4"/>
      <c r="N47" s="24" t="s">
        <v>812</v>
      </c>
    </row>
    <row r="48" spans="4:18" x14ac:dyDescent="0.25">
      <c r="D48" s="90" t="s">
        <v>495</v>
      </c>
      <c r="F48" s="94" t="s">
        <v>453</v>
      </c>
      <c r="G48" s="4" t="s">
        <v>454</v>
      </c>
      <c r="K48" s="4" t="s">
        <v>285</v>
      </c>
      <c r="L48" s="4"/>
      <c r="N48" s="24" t="s">
        <v>13</v>
      </c>
    </row>
    <row r="49" spans="3:14" x14ac:dyDescent="0.25">
      <c r="D49" s="90" t="s">
        <v>495</v>
      </c>
      <c r="F49" s="94" t="s">
        <v>80</v>
      </c>
      <c r="G49" s="4" t="s">
        <v>455</v>
      </c>
      <c r="K49" s="4" t="s">
        <v>308</v>
      </c>
      <c r="L49" s="4"/>
      <c r="N49" s="24" t="s">
        <v>20</v>
      </c>
    </row>
    <row r="50" spans="3:14" x14ac:dyDescent="0.25">
      <c r="D50" s="90" t="s">
        <v>495</v>
      </c>
      <c r="F50" s="94" t="s">
        <v>85</v>
      </c>
      <c r="G50" s="4" t="s">
        <v>86</v>
      </c>
      <c r="N50" s="24" t="s">
        <v>25</v>
      </c>
    </row>
    <row r="51" spans="3:14" x14ac:dyDescent="0.25">
      <c r="D51" s="90" t="s">
        <v>495</v>
      </c>
      <c r="F51" s="94" t="s">
        <v>456</v>
      </c>
      <c r="G51" s="4" t="s">
        <v>86</v>
      </c>
      <c r="N51" s="24" t="s">
        <v>27</v>
      </c>
    </row>
    <row r="52" spans="3:14" x14ac:dyDescent="0.25">
      <c r="D52" s="90" t="s">
        <v>495</v>
      </c>
      <c r="F52" s="94" t="s">
        <v>457</v>
      </c>
      <c r="G52" s="4" t="s">
        <v>458</v>
      </c>
      <c r="N52" s="24" t="s">
        <v>30</v>
      </c>
    </row>
    <row r="53" spans="3:14" x14ac:dyDescent="0.25">
      <c r="D53" s="90" t="s">
        <v>495</v>
      </c>
      <c r="F53" s="94" t="s">
        <v>83</v>
      </c>
      <c r="G53" s="4" t="s">
        <v>84</v>
      </c>
      <c r="N53" s="24" t="s">
        <v>36</v>
      </c>
    </row>
    <row r="54" spans="3:14" x14ac:dyDescent="0.25">
      <c r="D54" s="90" t="s">
        <v>495</v>
      </c>
      <c r="F54" s="94" t="s">
        <v>459</v>
      </c>
      <c r="G54" s="4" t="s">
        <v>463</v>
      </c>
      <c r="N54" s="24" t="s">
        <v>39</v>
      </c>
    </row>
    <row r="55" spans="3:14" x14ac:dyDescent="0.25">
      <c r="D55" s="90" t="s">
        <v>495</v>
      </c>
      <c r="F55" s="94" t="s">
        <v>460</v>
      </c>
      <c r="G55" s="4" t="s">
        <v>464</v>
      </c>
      <c r="N55" s="24" t="s">
        <v>42</v>
      </c>
    </row>
    <row r="56" spans="3:14" x14ac:dyDescent="0.25">
      <c r="C56" s="71"/>
      <c r="D56" s="100"/>
      <c r="F56" s="58" t="s">
        <v>461</v>
      </c>
      <c r="G56" s="4" t="s">
        <v>465</v>
      </c>
      <c r="N56" s="24" t="s">
        <v>45</v>
      </c>
    </row>
    <row r="57" spans="3:14" x14ac:dyDescent="0.25">
      <c r="D57" s="101"/>
      <c r="F57" s="58" t="s">
        <v>462</v>
      </c>
      <c r="G57" s="4" t="s">
        <v>466</v>
      </c>
      <c r="N57" s="24" t="s">
        <v>48</v>
      </c>
    </row>
    <row r="58" spans="3:14" x14ac:dyDescent="0.25">
      <c r="D58" s="90" t="s">
        <v>495</v>
      </c>
      <c r="F58" s="94" t="s">
        <v>467</v>
      </c>
      <c r="G58" s="4" t="s">
        <v>468</v>
      </c>
      <c r="N58" s="24" t="s">
        <v>50</v>
      </c>
    </row>
    <row r="59" spans="3:14" x14ac:dyDescent="0.25">
      <c r="D59" s="90" t="s">
        <v>481</v>
      </c>
      <c r="F59" s="93" t="s">
        <v>502</v>
      </c>
      <c r="G59" s="4" t="s">
        <v>503</v>
      </c>
      <c r="N59" s="24" t="s">
        <v>53</v>
      </c>
    </row>
    <row r="60" spans="3:14" x14ac:dyDescent="0.25">
      <c r="D60" s="90" t="s">
        <v>495</v>
      </c>
      <c r="F60" s="94" t="s">
        <v>79</v>
      </c>
      <c r="G60" s="4" t="s">
        <v>469</v>
      </c>
      <c r="N60" s="24" t="s">
        <v>55</v>
      </c>
    </row>
    <row r="61" spans="3:14" x14ac:dyDescent="0.25">
      <c r="D61" s="90"/>
      <c r="F61" s="58" t="s">
        <v>470</v>
      </c>
      <c r="G61" s="4" t="s">
        <v>471</v>
      </c>
      <c r="N61" s="24" t="s">
        <v>810</v>
      </c>
    </row>
    <row r="62" spans="3:14" x14ac:dyDescent="0.25">
      <c r="D62" s="90" t="s">
        <v>495</v>
      </c>
      <c r="F62" s="94" t="s">
        <v>472</v>
      </c>
      <c r="G62" s="4" t="s">
        <v>504</v>
      </c>
      <c r="N62" s="24" t="s">
        <v>809</v>
      </c>
    </row>
    <row r="63" spans="3:14" x14ac:dyDescent="0.25">
      <c r="D63" s="90" t="s">
        <v>481</v>
      </c>
      <c r="F63" s="93" t="s">
        <v>496</v>
      </c>
      <c r="G63" s="4" t="s">
        <v>497</v>
      </c>
      <c r="N63" s="24" t="s">
        <v>62</v>
      </c>
    </row>
    <row r="64" spans="3:14" x14ac:dyDescent="0.25">
      <c r="D64" s="90" t="s">
        <v>481</v>
      </c>
      <c r="F64" s="93" t="s">
        <v>499</v>
      </c>
      <c r="G64" s="4" t="s">
        <v>500</v>
      </c>
    </row>
    <row r="65" spans="4:18" x14ac:dyDescent="0.25">
      <c r="D65" s="90" t="s">
        <v>481</v>
      </c>
      <c r="F65" s="93" t="s">
        <v>482</v>
      </c>
      <c r="G65" s="4" t="s">
        <v>483</v>
      </c>
    </row>
    <row r="66" spans="4:18" x14ac:dyDescent="0.25">
      <c r="D66" s="100"/>
      <c r="F66" s="58" t="s">
        <v>473</v>
      </c>
      <c r="G66" s="4" t="s">
        <v>474</v>
      </c>
      <c r="K66" s="176" t="s">
        <v>813</v>
      </c>
      <c r="L66" s="176"/>
      <c r="M66" s="176"/>
      <c r="N66" s="176"/>
      <c r="O66" s="176"/>
      <c r="P66" s="176"/>
      <c r="Q66" s="176"/>
      <c r="R66" s="176"/>
    </row>
    <row r="67" spans="4:18" x14ac:dyDescent="0.25">
      <c r="D67" s="101"/>
      <c r="F67" s="58" t="s">
        <v>475</v>
      </c>
      <c r="G67" s="4" t="s">
        <v>476</v>
      </c>
    </row>
    <row r="68" spans="4:18" x14ac:dyDescent="0.25">
      <c r="D68" s="90" t="s">
        <v>495</v>
      </c>
      <c r="F68" s="94" t="s">
        <v>477</v>
      </c>
      <c r="G68" s="4" t="s">
        <v>478</v>
      </c>
      <c r="K68" s="13" t="s">
        <v>288</v>
      </c>
      <c r="L68" s="124" t="s">
        <v>768</v>
      </c>
      <c r="O68" s="124" t="s">
        <v>769</v>
      </c>
    </row>
    <row r="69" spans="4:18" x14ac:dyDescent="0.25">
      <c r="D69" s="90" t="s">
        <v>481</v>
      </c>
      <c r="F69" s="93" t="s">
        <v>73</v>
      </c>
      <c r="G69" s="4" t="s">
        <v>498</v>
      </c>
      <c r="L69" s="23" t="s">
        <v>770</v>
      </c>
      <c r="O69" s="23" t="s">
        <v>771</v>
      </c>
    </row>
    <row r="70" spans="4:18" x14ac:dyDescent="0.25">
      <c r="D70" s="90"/>
      <c r="F70" s="58" t="s">
        <v>479</v>
      </c>
      <c r="G70" s="4" t="s">
        <v>480</v>
      </c>
      <c r="L70" s="23" t="s">
        <v>772</v>
      </c>
      <c r="O70" s="23" t="s">
        <v>772</v>
      </c>
    </row>
    <row r="71" spans="4:18" x14ac:dyDescent="0.25">
      <c r="D71" s="90" t="s">
        <v>481</v>
      </c>
      <c r="F71" s="93" t="s">
        <v>69</v>
      </c>
      <c r="G71" s="4" t="s">
        <v>484</v>
      </c>
      <c r="L71" s="23" t="s">
        <v>773</v>
      </c>
      <c r="O71" s="23" t="s">
        <v>774</v>
      </c>
    </row>
    <row r="72" spans="4:18" x14ac:dyDescent="0.25">
      <c r="D72" s="90" t="s">
        <v>495</v>
      </c>
      <c r="F72" s="94" t="s">
        <v>76</v>
      </c>
      <c r="G72" s="4" t="s">
        <v>485</v>
      </c>
      <c r="L72" s="23" t="s">
        <v>775</v>
      </c>
      <c r="O72" s="23" t="s">
        <v>776</v>
      </c>
    </row>
    <row r="73" spans="4:18" x14ac:dyDescent="0.25">
      <c r="D73" s="90" t="s">
        <v>495</v>
      </c>
      <c r="F73" s="94" t="s">
        <v>486</v>
      </c>
      <c r="G73" s="4" t="s">
        <v>487</v>
      </c>
      <c r="L73" s="23" t="s">
        <v>777</v>
      </c>
      <c r="O73" s="23" t="s">
        <v>778</v>
      </c>
    </row>
    <row r="74" spans="4:18" x14ac:dyDescent="0.25">
      <c r="D74" s="90" t="s">
        <v>495</v>
      </c>
      <c r="F74" s="94" t="s">
        <v>488</v>
      </c>
      <c r="G74" s="4" t="s">
        <v>489</v>
      </c>
      <c r="L74" s="23" t="s">
        <v>779</v>
      </c>
      <c r="O74" s="23" t="s">
        <v>780</v>
      </c>
    </row>
    <row r="75" spans="4:18" x14ac:dyDescent="0.25">
      <c r="D75" s="90" t="s">
        <v>495</v>
      </c>
      <c r="F75" s="94" t="s">
        <v>490</v>
      </c>
      <c r="G75" s="4" t="s">
        <v>492</v>
      </c>
      <c r="L75" s="23" t="s">
        <v>781</v>
      </c>
      <c r="O75" s="23" t="s">
        <v>782</v>
      </c>
    </row>
    <row r="76" spans="4:18" x14ac:dyDescent="0.25">
      <c r="D76" s="90" t="s">
        <v>495</v>
      </c>
      <c r="F76" s="94" t="s">
        <v>70</v>
      </c>
      <c r="G76" s="4" t="s">
        <v>71</v>
      </c>
      <c r="L76" s="23" t="s">
        <v>783</v>
      </c>
      <c r="O76" s="23" t="s">
        <v>782</v>
      </c>
    </row>
    <row r="77" spans="4:18" x14ac:dyDescent="0.25">
      <c r="D77" s="90" t="s">
        <v>495</v>
      </c>
      <c r="F77" s="94" t="s">
        <v>491</v>
      </c>
      <c r="G77" s="4" t="s">
        <v>493</v>
      </c>
      <c r="L77" s="23" t="s">
        <v>784</v>
      </c>
      <c r="O77" s="23" t="s">
        <v>784</v>
      </c>
    </row>
    <row r="78" spans="4:18" x14ac:dyDescent="0.25">
      <c r="D78" s="90" t="s">
        <v>495</v>
      </c>
      <c r="F78" s="94" t="s">
        <v>81</v>
      </c>
      <c r="G78" s="4" t="s">
        <v>82</v>
      </c>
      <c r="L78" s="23" t="s">
        <v>785</v>
      </c>
      <c r="O78" s="23" t="s">
        <v>786</v>
      </c>
    </row>
    <row r="79" spans="4:18" x14ac:dyDescent="0.25">
      <c r="D79" s="90" t="s">
        <v>495</v>
      </c>
      <c r="F79" s="94" t="s">
        <v>74</v>
      </c>
      <c r="G79" s="4" t="s">
        <v>494</v>
      </c>
      <c r="L79" s="23" t="s">
        <v>787</v>
      </c>
      <c r="O79" s="23" t="s">
        <v>788</v>
      </c>
    </row>
    <row r="80" spans="4:18" x14ac:dyDescent="0.25">
      <c r="D80" s="90" t="s">
        <v>495</v>
      </c>
      <c r="F80" s="94" t="s">
        <v>75</v>
      </c>
      <c r="G80" s="4" t="s">
        <v>77</v>
      </c>
      <c r="L80" s="23" t="s">
        <v>789</v>
      </c>
      <c r="O80" s="23"/>
    </row>
    <row r="81" spans="4:16" x14ac:dyDescent="0.25">
      <c r="L81" s="23" t="s">
        <v>790</v>
      </c>
      <c r="O81" s="23"/>
    </row>
    <row r="82" spans="4:16" x14ac:dyDescent="0.25">
      <c r="L82" s="23" t="s">
        <v>791</v>
      </c>
      <c r="O82" s="23" t="s">
        <v>792</v>
      </c>
    </row>
    <row r="83" spans="4:16" x14ac:dyDescent="0.25">
      <c r="D83" s="176" t="s">
        <v>506</v>
      </c>
      <c r="E83" s="176"/>
      <c r="F83" s="176"/>
      <c r="G83" s="176"/>
      <c r="H83" s="176"/>
      <c r="I83" s="176"/>
      <c r="J83" s="176"/>
      <c r="L83" s="23" t="s">
        <v>512</v>
      </c>
      <c r="O83" s="23" t="s">
        <v>793</v>
      </c>
    </row>
    <row r="84" spans="4:16" x14ac:dyDescent="0.25">
      <c r="L84" s="23" t="s">
        <v>794</v>
      </c>
      <c r="O84" s="23" t="s">
        <v>795</v>
      </c>
    </row>
    <row r="85" spans="4:16" x14ac:dyDescent="0.25">
      <c r="F85" s="90" t="s">
        <v>508</v>
      </c>
      <c r="G85" s="4" t="s">
        <v>511</v>
      </c>
      <c r="L85" s="23" t="s">
        <v>796</v>
      </c>
      <c r="O85" s="23" t="s">
        <v>797</v>
      </c>
    </row>
    <row r="86" spans="4:16" x14ac:dyDescent="0.25">
      <c r="F86" s="90" t="s">
        <v>509</v>
      </c>
      <c r="G86" s="4" t="s">
        <v>512</v>
      </c>
      <c r="H86" s="81"/>
      <c r="L86" s="23" t="s">
        <v>798</v>
      </c>
      <c r="O86" s="23" t="s">
        <v>799</v>
      </c>
    </row>
    <row r="87" spans="4:16" x14ac:dyDescent="0.25">
      <c r="F87" s="90" t="s">
        <v>449</v>
      </c>
      <c r="G87" s="4" t="s">
        <v>451</v>
      </c>
      <c r="H87" s="81"/>
      <c r="L87" s="23" t="s">
        <v>800</v>
      </c>
      <c r="O87" s="23" t="s">
        <v>800</v>
      </c>
    </row>
    <row r="88" spans="4:16" x14ac:dyDescent="0.25">
      <c r="F88" s="90" t="s">
        <v>88</v>
      </c>
      <c r="G88" s="4" t="s">
        <v>514</v>
      </c>
      <c r="H88" s="81"/>
      <c r="L88" s="23" t="s">
        <v>801</v>
      </c>
      <c r="O88" s="23" t="s">
        <v>802</v>
      </c>
    </row>
    <row r="89" spans="4:16" x14ac:dyDescent="0.25">
      <c r="F89" s="90" t="s">
        <v>510</v>
      </c>
      <c r="G89" s="4" t="s">
        <v>515</v>
      </c>
      <c r="H89" s="81"/>
      <c r="L89" s="23" t="s">
        <v>803</v>
      </c>
      <c r="O89" s="23" t="s">
        <v>803</v>
      </c>
    </row>
    <row r="90" spans="4:16" x14ac:dyDescent="0.25">
      <c r="F90" s="58" t="s">
        <v>513</v>
      </c>
      <c r="G90" s="4" t="s">
        <v>516</v>
      </c>
      <c r="L90" s="23" t="s">
        <v>804</v>
      </c>
      <c r="O90" s="23" t="s">
        <v>805</v>
      </c>
    </row>
    <row r="91" spans="4:16" x14ac:dyDescent="0.25">
      <c r="F91" s="58" t="s">
        <v>517</v>
      </c>
      <c r="G91" s="4" t="s">
        <v>519</v>
      </c>
      <c r="L91" s="23" t="s">
        <v>806</v>
      </c>
      <c r="O91" s="23" t="s">
        <v>808</v>
      </c>
    </row>
    <row r="92" spans="4:16" x14ac:dyDescent="0.25">
      <c r="F92" s="58" t="s">
        <v>518</v>
      </c>
      <c r="G92" s="4" t="s">
        <v>520</v>
      </c>
      <c r="L92" s="23" t="s">
        <v>807</v>
      </c>
      <c r="P92" s="23"/>
    </row>
    <row r="93" spans="4:16" x14ac:dyDescent="0.25">
      <c r="F93" s="58" t="s">
        <v>521</v>
      </c>
      <c r="G93" s="4" t="s">
        <v>522</v>
      </c>
    </row>
    <row r="94" spans="4:16" x14ac:dyDescent="0.25">
      <c r="F94" s="58" t="s">
        <v>523</v>
      </c>
      <c r="G94" s="4" t="s">
        <v>524</v>
      </c>
    </row>
    <row r="95" spans="4:16" x14ac:dyDescent="0.25">
      <c r="F95" s="58" t="s">
        <v>525</v>
      </c>
      <c r="G95" s="4" t="s">
        <v>526</v>
      </c>
    </row>
    <row r="96" spans="4:16" x14ac:dyDescent="0.25">
      <c r="F96" s="58" t="s">
        <v>527</v>
      </c>
      <c r="G96" s="4" t="s">
        <v>528</v>
      </c>
    </row>
    <row r="97" spans="6:7" x14ac:dyDescent="0.25">
      <c r="F97" s="58" t="s">
        <v>529</v>
      </c>
      <c r="G97" s="4" t="s">
        <v>530</v>
      </c>
    </row>
    <row r="98" spans="6:7" x14ac:dyDescent="0.25">
      <c r="F98" s="58" t="s">
        <v>531</v>
      </c>
      <c r="G98" s="4" t="s">
        <v>532</v>
      </c>
    </row>
    <row r="99" spans="6:7" x14ac:dyDescent="0.25">
      <c r="F99" s="58" t="s">
        <v>533</v>
      </c>
      <c r="G99" s="4" t="s">
        <v>534</v>
      </c>
    </row>
    <row r="100" spans="6:7" x14ac:dyDescent="0.25">
      <c r="F100" s="58" t="s">
        <v>535</v>
      </c>
      <c r="G100" s="4" t="s">
        <v>536</v>
      </c>
    </row>
    <row r="101" spans="6:7" x14ac:dyDescent="0.25">
      <c r="F101" s="58" t="s">
        <v>537</v>
      </c>
      <c r="G101" s="4" t="s">
        <v>538</v>
      </c>
    </row>
    <row r="102" spans="6:7" x14ac:dyDescent="0.25">
      <c r="F102" s="58" t="s">
        <v>539</v>
      </c>
      <c r="G102" s="4" t="s">
        <v>540</v>
      </c>
    </row>
    <row r="103" spans="6:7" x14ac:dyDescent="0.25">
      <c r="F103" s="58" t="s">
        <v>541</v>
      </c>
      <c r="G103" s="4" t="s">
        <v>542</v>
      </c>
    </row>
    <row r="104" spans="6:7" x14ac:dyDescent="0.25">
      <c r="F104" s="58" t="s">
        <v>544</v>
      </c>
      <c r="G104" s="4" t="s">
        <v>545</v>
      </c>
    </row>
    <row r="105" spans="6:7" x14ac:dyDescent="0.25">
      <c r="F105" s="58" t="s">
        <v>462</v>
      </c>
      <c r="G105" s="4" t="s">
        <v>546</v>
      </c>
    </row>
    <row r="106" spans="6:7" x14ac:dyDescent="0.25">
      <c r="F106" s="58" t="s">
        <v>547</v>
      </c>
      <c r="G106" s="4" t="s">
        <v>548</v>
      </c>
    </row>
    <row r="107" spans="6:7" x14ac:dyDescent="0.25">
      <c r="F107" s="58" t="s">
        <v>549</v>
      </c>
      <c r="G107" s="4" t="s">
        <v>550</v>
      </c>
    </row>
    <row r="108" spans="6:7" x14ac:dyDescent="0.25">
      <c r="F108" s="58" t="s">
        <v>551</v>
      </c>
      <c r="G108" s="4" t="s">
        <v>552</v>
      </c>
    </row>
    <row r="109" spans="6:7" x14ac:dyDescent="0.25">
      <c r="F109" s="58" t="s">
        <v>553</v>
      </c>
      <c r="G109" s="4" t="s">
        <v>554</v>
      </c>
    </row>
    <row r="110" spans="6:7" x14ac:dyDescent="0.25">
      <c r="F110" s="58" t="s">
        <v>555</v>
      </c>
      <c r="G110" s="4" t="s">
        <v>556</v>
      </c>
    </row>
    <row r="111" spans="6:7" x14ac:dyDescent="0.25">
      <c r="F111" s="58" t="s">
        <v>557</v>
      </c>
      <c r="G111" s="4" t="s">
        <v>558</v>
      </c>
    </row>
    <row r="112" spans="6:7" x14ac:dyDescent="0.25">
      <c r="F112" s="58" t="s">
        <v>559</v>
      </c>
      <c r="G112" s="4" t="s">
        <v>560</v>
      </c>
    </row>
    <row r="113" spans="4:7" x14ac:dyDescent="0.25">
      <c r="F113" s="58" t="s">
        <v>561</v>
      </c>
      <c r="G113" s="4" t="s">
        <v>562</v>
      </c>
    </row>
    <row r="114" spans="4:7" x14ac:dyDescent="0.25">
      <c r="F114" s="58" t="s">
        <v>561</v>
      </c>
      <c r="G114" s="4" t="s">
        <v>563</v>
      </c>
    </row>
    <row r="115" spans="4:7" x14ac:dyDescent="0.25">
      <c r="F115" s="58" t="s">
        <v>564</v>
      </c>
      <c r="G115" s="4" t="s">
        <v>565</v>
      </c>
    </row>
    <row r="116" spans="4:7" x14ac:dyDescent="0.25">
      <c r="F116" s="58" t="s">
        <v>566</v>
      </c>
      <c r="G116" s="4" t="s">
        <v>469</v>
      </c>
    </row>
    <row r="117" spans="4:7" x14ac:dyDescent="0.25">
      <c r="F117" s="58" t="s">
        <v>567</v>
      </c>
      <c r="G117" s="4" t="s">
        <v>568</v>
      </c>
    </row>
    <row r="118" spans="4:7" x14ac:dyDescent="0.25">
      <c r="F118" s="58" t="s">
        <v>569</v>
      </c>
      <c r="G118" s="4" t="s">
        <v>570</v>
      </c>
    </row>
    <row r="119" spans="4:7" x14ac:dyDescent="0.25">
      <c r="F119" s="58" t="s">
        <v>571</v>
      </c>
      <c r="G119" s="4" t="s">
        <v>572</v>
      </c>
    </row>
    <row r="120" spans="4:7" x14ac:dyDescent="0.25">
      <c r="F120" s="58" t="s">
        <v>573</v>
      </c>
      <c r="G120" s="4" t="s">
        <v>574</v>
      </c>
    </row>
    <row r="121" spans="4:7" x14ac:dyDescent="0.25">
      <c r="F121" s="58" t="s">
        <v>575</v>
      </c>
      <c r="G121" s="4" t="s">
        <v>576</v>
      </c>
    </row>
    <row r="122" spans="4:7" x14ac:dyDescent="0.25">
      <c r="F122" s="58" t="s">
        <v>577</v>
      </c>
      <c r="G122" s="4" t="s">
        <v>578</v>
      </c>
    </row>
    <row r="123" spans="4:7" x14ac:dyDescent="0.25">
      <c r="F123" s="58" t="s">
        <v>579</v>
      </c>
      <c r="G123" s="4" t="s">
        <v>580</v>
      </c>
    </row>
    <row r="124" spans="4:7" x14ac:dyDescent="0.25">
      <c r="F124" s="58" t="s">
        <v>581</v>
      </c>
      <c r="G124" s="4" t="s">
        <v>582</v>
      </c>
    </row>
    <row r="125" spans="4:7" x14ac:dyDescent="0.25">
      <c r="F125" s="58" t="s">
        <v>583</v>
      </c>
      <c r="G125" s="4" t="s">
        <v>584</v>
      </c>
    </row>
    <row r="126" spans="4:7" x14ac:dyDescent="0.25">
      <c r="F126" s="58" t="s">
        <v>585</v>
      </c>
      <c r="G126" s="4" t="s">
        <v>586</v>
      </c>
    </row>
    <row r="127" spans="4:7" x14ac:dyDescent="0.25">
      <c r="D127" s="90" t="s">
        <v>495</v>
      </c>
      <c r="F127" s="94" t="s">
        <v>78</v>
      </c>
      <c r="G127" s="4" t="s">
        <v>507</v>
      </c>
    </row>
    <row r="128" spans="4:7" x14ac:dyDescent="0.25">
      <c r="F128" s="58" t="s">
        <v>587</v>
      </c>
      <c r="G128" s="4" t="s">
        <v>588</v>
      </c>
    </row>
    <row r="129" spans="6:7" x14ac:dyDescent="0.25">
      <c r="F129" s="58" t="s">
        <v>589</v>
      </c>
      <c r="G129" s="4" t="s">
        <v>590</v>
      </c>
    </row>
    <row r="130" spans="6:7" x14ac:dyDescent="0.25">
      <c r="F130" s="58" t="s">
        <v>591</v>
      </c>
      <c r="G130" s="4" t="s">
        <v>592</v>
      </c>
    </row>
    <row r="131" spans="6:7" x14ac:dyDescent="0.25">
      <c r="F131" s="58" t="s">
        <v>593</v>
      </c>
      <c r="G131" s="4" t="s">
        <v>594</v>
      </c>
    </row>
    <row r="132" spans="6:7" x14ac:dyDescent="0.25">
      <c r="F132" s="58" t="s">
        <v>73</v>
      </c>
      <c r="G132" s="4" t="s">
        <v>595</v>
      </c>
    </row>
    <row r="133" spans="6:7" x14ac:dyDescent="0.25">
      <c r="F133" s="58" t="s">
        <v>479</v>
      </c>
      <c r="G133" s="4" t="s">
        <v>596</v>
      </c>
    </row>
    <row r="134" spans="6:7" x14ac:dyDescent="0.25">
      <c r="F134" s="58" t="s">
        <v>597</v>
      </c>
      <c r="G134" s="4" t="s">
        <v>485</v>
      </c>
    </row>
    <row r="135" spans="6:7" x14ac:dyDescent="0.25">
      <c r="F135" s="58" t="s">
        <v>598</v>
      </c>
      <c r="G135" s="4" t="s">
        <v>599</v>
      </c>
    </row>
    <row r="136" spans="6:7" x14ac:dyDescent="0.25">
      <c r="F136" s="58" t="s">
        <v>488</v>
      </c>
      <c r="G136" s="4" t="s">
        <v>600</v>
      </c>
    </row>
    <row r="137" spans="6:7" x14ac:dyDescent="0.25">
      <c r="F137" s="58" t="s">
        <v>601</v>
      </c>
      <c r="G137" s="4" t="s">
        <v>602</v>
      </c>
    </row>
    <row r="138" spans="6:7" x14ac:dyDescent="0.25">
      <c r="F138" s="58" t="s">
        <v>603</v>
      </c>
      <c r="G138" s="4" t="s">
        <v>604</v>
      </c>
    </row>
    <row r="139" spans="6:7" x14ac:dyDescent="0.25">
      <c r="F139" s="58" t="s">
        <v>605</v>
      </c>
      <c r="G139" s="4" t="s">
        <v>606</v>
      </c>
    </row>
    <row r="140" spans="6:7" x14ac:dyDescent="0.25">
      <c r="F140" s="58" t="s">
        <v>607</v>
      </c>
      <c r="G140" s="4" t="s">
        <v>608</v>
      </c>
    </row>
    <row r="141" spans="6:7" x14ac:dyDescent="0.25">
      <c r="F141" s="58" t="s">
        <v>609</v>
      </c>
      <c r="G141" s="4" t="s">
        <v>610</v>
      </c>
    </row>
    <row r="142" spans="6:7" x14ac:dyDescent="0.25">
      <c r="F142" s="58" t="s">
        <v>611</v>
      </c>
      <c r="G142" s="4" t="s">
        <v>612</v>
      </c>
    </row>
    <row r="143" spans="6:7" x14ac:dyDescent="0.25">
      <c r="F143" s="58" t="s">
        <v>613</v>
      </c>
      <c r="G143" s="4" t="s">
        <v>614</v>
      </c>
    </row>
    <row r="144" spans="6:7" x14ac:dyDescent="0.25">
      <c r="F144" s="58" t="s">
        <v>615</v>
      </c>
      <c r="G144" s="4" t="s">
        <v>616</v>
      </c>
    </row>
    <row r="145" spans="4:7" x14ac:dyDescent="0.25">
      <c r="F145" s="58" t="s">
        <v>617</v>
      </c>
      <c r="G145" s="4" t="s">
        <v>618</v>
      </c>
    </row>
    <row r="146" spans="4:7" x14ac:dyDescent="0.25">
      <c r="F146" s="58" t="s">
        <v>619</v>
      </c>
      <c r="G146" s="4" t="s">
        <v>620</v>
      </c>
    </row>
    <row r="147" spans="4:7" x14ac:dyDescent="0.25">
      <c r="F147" s="58" t="s">
        <v>621</v>
      </c>
      <c r="G147" s="4" t="s">
        <v>622</v>
      </c>
    </row>
    <row r="148" spans="4:7" x14ac:dyDescent="0.25">
      <c r="F148" s="58" t="s">
        <v>623</v>
      </c>
      <c r="G148" s="4" t="s">
        <v>624</v>
      </c>
    </row>
    <row r="149" spans="4:7" x14ac:dyDescent="0.25">
      <c r="F149" s="58" t="s">
        <v>625</v>
      </c>
      <c r="G149" s="4" t="s">
        <v>626</v>
      </c>
    </row>
    <row r="150" spans="4:7" x14ac:dyDescent="0.25">
      <c r="F150" s="58" t="s">
        <v>627</v>
      </c>
      <c r="G150" s="4" t="s">
        <v>628</v>
      </c>
    </row>
    <row r="151" spans="4:7" x14ac:dyDescent="0.25">
      <c r="F151" s="58" t="s">
        <v>629</v>
      </c>
      <c r="G151" s="4" t="s">
        <v>630</v>
      </c>
    </row>
    <row r="152" spans="4:7" x14ac:dyDescent="0.25">
      <c r="F152" s="58" t="s">
        <v>632</v>
      </c>
      <c r="G152" s="4" t="s">
        <v>631</v>
      </c>
    </row>
    <row r="153" spans="4:7" x14ac:dyDescent="0.25">
      <c r="F153" s="58" t="s">
        <v>633</v>
      </c>
      <c r="G153" s="4" t="s">
        <v>634</v>
      </c>
    </row>
    <row r="154" spans="4:7" x14ac:dyDescent="0.25">
      <c r="F154" s="58" t="s">
        <v>636</v>
      </c>
      <c r="G154" s="4" t="s">
        <v>635</v>
      </c>
    </row>
    <row r="155" spans="4:7" x14ac:dyDescent="0.25">
      <c r="F155" s="58" t="s">
        <v>637</v>
      </c>
      <c r="G155" s="4" t="s">
        <v>638</v>
      </c>
    </row>
    <row r="156" spans="4:7" x14ac:dyDescent="0.25">
      <c r="F156" s="58" t="s">
        <v>639</v>
      </c>
      <c r="G156" s="4" t="s">
        <v>640</v>
      </c>
    </row>
    <row r="157" spans="4:7" x14ac:dyDescent="0.25">
      <c r="F157" s="58" t="s">
        <v>641</v>
      </c>
      <c r="G157" s="4" t="s">
        <v>642</v>
      </c>
    </row>
    <row r="158" spans="4:7" x14ac:dyDescent="0.25">
      <c r="F158" s="58" t="s">
        <v>643</v>
      </c>
      <c r="G158" s="4" t="s">
        <v>644</v>
      </c>
    </row>
    <row r="159" spans="4:7" x14ac:dyDescent="0.25">
      <c r="D159" s="90" t="s">
        <v>495</v>
      </c>
      <c r="F159" s="94" t="s">
        <v>72</v>
      </c>
      <c r="G159" s="4" t="s">
        <v>543</v>
      </c>
    </row>
    <row r="160" spans="4:7" x14ac:dyDescent="0.25">
      <c r="F160" s="58" t="s">
        <v>645</v>
      </c>
      <c r="G160" s="4" t="s">
        <v>646</v>
      </c>
    </row>
    <row r="161" spans="6:7" x14ac:dyDescent="0.25">
      <c r="F161" s="58" t="s">
        <v>647</v>
      </c>
      <c r="G161" s="4" t="s">
        <v>648</v>
      </c>
    </row>
    <row r="162" spans="6:7" x14ac:dyDescent="0.25">
      <c r="F162" s="58" t="s">
        <v>649</v>
      </c>
      <c r="G162" s="4" t="s">
        <v>650</v>
      </c>
    </row>
    <row r="163" spans="6:7" x14ac:dyDescent="0.25">
      <c r="F163" s="58" t="s">
        <v>651</v>
      </c>
      <c r="G163" s="4" t="s">
        <v>652</v>
      </c>
    </row>
    <row r="164" spans="6:7" x14ac:dyDescent="0.25">
      <c r="F164" s="58" t="s">
        <v>653</v>
      </c>
      <c r="G164" s="4" t="s">
        <v>654</v>
      </c>
    </row>
    <row r="165" spans="6:7" x14ac:dyDescent="0.25">
      <c r="F165" s="58" t="s">
        <v>655</v>
      </c>
      <c r="G165" s="4" t="s">
        <v>656</v>
      </c>
    </row>
  </sheetData>
  <mergeCells count="15">
    <mergeCell ref="D40:J40"/>
    <mergeCell ref="D83:J83"/>
    <mergeCell ref="G30:J30"/>
    <mergeCell ref="Q1:U1"/>
    <mergeCell ref="R2:S2"/>
    <mergeCell ref="R3:S3"/>
    <mergeCell ref="R8:S8"/>
    <mergeCell ref="R9:S9"/>
    <mergeCell ref="F22:K22"/>
    <mergeCell ref="F23:K23"/>
    <mergeCell ref="G26:H26"/>
    <mergeCell ref="I26:J26"/>
    <mergeCell ref="H28:I28"/>
    <mergeCell ref="G32:H32"/>
    <mergeCell ref="K66:R66"/>
  </mergeCells>
  <conditionalFormatting sqref="F25:K25 G26:J26 H27:I27 H28">
    <cfRule type="containsText" dxfId="207" priority="1" operator="containsText" text="TRUE">
      <formula>NOT(ISERROR(SEARCH("TRUE",F25)))</formula>
    </cfRule>
    <cfRule type="containsText" dxfId="206" priority="2" operator="containsText" text="FALSE">
      <formula>NOT(ISERROR(SEARCH("FALSE",F25)))</formula>
    </cfRule>
  </conditionalFormatting>
  <conditionalFormatting sqref="F23 C2:C17">
    <cfRule type="cellIs" dxfId="205" priority="3" operator="equal">
      <formula>"OPEN"</formula>
    </cfRule>
    <cfRule type="cellIs" dxfId="204" priority="4" operator="equal">
      <formula>"CLOSED"</formula>
    </cfRule>
  </conditionalFormatting>
  <dataValidations count="1">
    <dataValidation type="list" allowBlank="1" showInputMessage="1" showErrorMessage="1" sqref="G32" xr:uid="{06114354-44F6-4CF6-8B55-5A420208A5B0}">
      <formula1>$N$47:$N$63</formula1>
    </dataValidation>
  </dataValidations>
  <pageMargins left="0.7" right="0.7" top="0.75" bottom="0.75" header="0.3" footer="0.3"/>
  <pageSetup orientation="portrait" r:id="rId1"/>
  <ignoredErrors>
    <ignoredError sqref="F5" formula="1"/>
  </ignoredErrors>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F878F3-31AC-445A-B5F3-78CC6C77A925}">
  <dimension ref="C1:F43"/>
  <sheetViews>
    <sheetView workbookViewId="0">
      <selection activeCell="K17" sqref="K17"/>
    </sheetView>
  </sheetViews>
  <sheetFormatPr defaultRowHeight="15" x14ac:dyDescent="0.25"/>
  <cols>
    <col min="4" max="4" width="40.28515625" bestFit="1" customWidth="1"/>
    <col min="5" max="5" width="40.28515625" customWidth="1"/>
    <col min="6" max="6" width="46.5703125" bestFit="1" customWidth="1"/>
    <col min="7" max="7" width="16.7109375" bestFit="1" customWidth="1"/>
  </cols>
  <sheetData>
    <row r="1" spans="3:6" x14ac:dyDescent="0.25">
      <c r="C1" t="s">
        <v>448</v>
      </c>
      <c r="D1" t="s">
        <v>859</v>
      </c>
      <c r="E1" t="s">
        <v>771</v>
      </c>
    </row>
    <row r="2" spans="3:6" x14ac:dyDescent="0.25">
      <c r="C2" t="s">
        <v>68</v>
      </c>
      <c r="D2" t="s">
        <v>860</v>
      </c>
      <c r="E2" t="s">
        <v>876</v>
      </c>
      <c r="F2" t="s">
        <v>883</v>
      </c>
    </row>
    <row r="3" spans="3:6" x14ac:dyDescent="0.25">
      <c r="C3" t="s">
        <v>80</v>
      </c>
      <c r="D3" t="s">
        <v>772</v>
      </c>
    </row>
    <row r="4" spans="3:6" x14ac:dyDescent="0.25">
      <c r="C4" t="s">
        <v>459</v>
      </c>
      <c r="D4" t="s">
        <v>861</v>
      </c>
      <c r="E4" t="s">
        <v>877</v>
      </c>
    </row>
    <row r="5" spans="3:6" x14ac:dyDescent="0.25">
      <c r="C5" t="s">
        <v>829</v>
      </c>
      <c r="D5" t="s">
        <v>862</v>
      </c>
      <c r="E5" t="s">
        <v>878</v>
      </c>
    </row>
    <row r="6" spans="3:6" x14ac:dyDescent="0.25">
      <c r="C6" t="s">
        <v>467</v>
      </c>
      <c r="D6" t="s">
        <v>777</v>
      </c>
    </row>
    <row r="7" spans="3:6" x14ac:dyDescent="0.25">
      <c r="C7" t="s">
        <v>830</v>
      </c>
      <c r="D7" t="s">
        <v>863</v>
      </c>
      <c r="E7" t="s">
        <v>879</v>
      </c>
    </row>
    <row r="8" spans="3:6" x14ac:dyDescent="0.25">
      <c r="C8" t="s">
        <v>831</v>
      </c>
      <c r="D8" t="s">
        <v>863</v>
      </c>
      <c r="E8" t="s">
        <v>880</v>
      </c>
    </row>
    <row r="9" spans="3:6" x14ac:dyDescent="0.25">
      <c r="C9" t="s">
        <v>832</v>
      </c>
      <c r="D9" t="s">
        <v>864</v>
      </c>
      <c r="E9" t="s">
        <v>879</v>
      </c>
    </row>
    <row r="10" spans="3:6" x14ac:dyDescent="0.25">
      <c r="C10" t="s">
        <v>833</v>
      </c>
      <c r="D10" t="s">
        <v>864</v>
      </c>
      <c r="E10" t="s">
        <v>880</v>
      </c>
    </row>
    <row r="11" spans="3:6" x14ac:dyDescent="0.25">
      <c r="C11" t="s">
        <v>835</v>
      </c>
      <c r="D11" t="s">
        <v>884</v>
      </c>
      <c r="E11" t="s">
        <v>890</v>
      </c>
    </row>
    <row r="12" spans="3:6" x14ac:dyDescent="0.25">
      <c r="C12" t="s">
        <v>834</v>
      </c>
      <c r="D12" t="s">
        <v>884</v>
      </c>
      <c r="E12" t="s">
        <v>891</v>
      </c>
    </row>
    <row r="13" spans="3:6" x14ac:dyDescent="0.25">
      <c r="C13" t="s">
        <v>825</v>
      </c>
      <c r="D13" t="s">
        <v>865</v>
      </c>
      <c r="E13" t="s">
        <v>892</v>
      </c>
      <c r="F13" t="s">
        <v>890</v>
      </c>
    </row>
    <row r="14" spans="3:6" x14ac:dyDescent="0.25">
      <c r="C14" t="s">
        <v>824</v>
      </c>
      <c r="D14" t="s">
        <v>865</v>
      </c>
      <c r="E14" t="s">
        <v>892</v>
      </c>
      <c r="F14" t="s">
        <v>891</v>
      </c>
    </row>
    <row r="15" spans="3:6" x14ac:dyDescent="0.25">
      <c r="C15" t="s">
        <v>836</v>
      </c>
      <c r="D15" t="s">
        <v>866</v>
      </c>
      <c r="E15" t="s">
        <v>881</v>
      </c>
      <c r="F15" t="s">
        <v>867</v>
      </c>
    </row>
    <row r="16" spans="3:6" x14ac:dyDescent="0.25">
      <c r="C16" t="s">
        <v>851</v>
      </c>
      <c r="D16" t="s">
        <v>874</v>
      </c>
    </row>
    <row r="17" spans="3:6" x14ac:dyDescent="0.25">
      <c r="C17" t="s">
        <v>839</v>
      </c>
      <c r="D17" t="s">
        <v>852</v>
      </c>
    </row>
    <row r="18" spans="3:6" x14ac:dyDescent="0.25">
      <c r="C18" t="s">
        <v>841</v>
      </c>
      <c r="D18" t="s">
        <v>885</v>
      </c>
      <c r="E18" t="s">
        <v>890</v>
      </c>
    </row>
    <row r="19" spans="3:6" x14ac:dyDescent="0.25">
      <c r="C19" t="s">
        <v>840</v>
      </c>
      <c r="D19" t="s">
        <v>885</v>
      </c>
      <c r="E19" t="s">
        <v>891</v>
      </c>
    </row>
    <row r="20" spans="3:6" x14ac:dyDescent="0.25">
      <c r="C20" t="s">
        <v>838</v>
      </c>
      <c r="D20" t="s">
        <v>886</v>
      </c>
      <c r="E20" t="s">
        <v>890</v>
      </c>
    </row>
    <row r="21" spans="3:6" x14ac:dyDescent="0.25">
      <c r="C21" t="s">
        <v>837</v>
      </c>
      <c r="D21" t="s">
        <v>886</v>
      </c>
      <c r="E21" t="s">
        <v>891</v>
      </c>
    </row>
    <row r="22" spans="3:6" x14ac:dyDescent="0.25">
      <c r="C22" t="s">
        <v>850</v>
      </c>
      <c r="D22" t="s">
        <v>887</v>
      </c>
      <c r="E22" t="s">
        <v>890</v>
      </c>
    </row>
    <row r="23" spans="3:6" x14ac:dyDescent="0.25">
      <c r="C23" t="s">
        <v>849</v>
      </c>
      <c r="D23" t="s">
        <v>887</v>
      </c>
      <c r="E23" t="s">
        <v>891</v>
      </c>
    </row>
    <row r="24" spans="3:6" x14ac:dyDescent="0.25">
      <c r="C24" t="s">
        <v>845</v>
      </c>
      <c r="D24" t="s">
        <v>888</v>
      </c>
      <c r="E24" t="s">
        <v>890</v>
      </c>
    </row>
    <row r="25" spans="3:6" x14ac:dyDescent="0.25">
      <c r="C25" t="s">
        <v>844</v>
      </c>
      <c r="D25" t="s">
        <v>888</v>
      </c>
      <c r="E25" t="s">
        <v>891</v>
      </c>
    </row>
    <row r="26" spans="3:6" x14ac:dyDescent="0.25">
      <c r="C26" t="s">
        <v>842</v>
      </c>
      <c r="D26" t="s">
        <v>868</v>
      </c>
      <c r="E26" t="s">
        <v>882</v>
      </c>
    </row>
    <row r="27" spans="3:6" x14ac:dyDescent="0.25">
      <c r="C27" t="s">
        <v>817</v>
      </c>
      <c r="D27" t="s">
        <v>796</v>
      </c>
    </row>
    <row r="28" spans="3:6" x14ac:dyDescent="0.25">
      <c r="C28" t="s">
        <v>816</v>
      </c>
      <c r="D28" t="s">
        <v>889</v>
      </c>
      <c r="E28" t="s">
        <v>890</v>
      </c>
    </row>
    <row r="29" spans="3:6" x14ac:dyDescent="0.25">
      <c r="C29" t="s">
        <v>815</v>
      </c>
      <c r="D29" t="s">
        <v>889</v>
      </c>
      <c r="E29" t="s">
        <v>891</v>
      </c>
    </row>
    <row r="30" spans="3:6" x14ac:dyDescent="0.25">
      <c r="C30" t="s">
        <v>823</v>
      </c>
      <c r="D30" t="s">
        <v>869</v>
      </c>
      <c r="E30" t="s">
        <v>793</v>
      </c>
      <c r="F30" t="s">
        <v>890</v>
      </c>
    </row>
    <row r="31" spans="3:6" x14ac:dyDescent="0.25">
      <c r="C31" t="s">
        <v>822</v>
      </c>
      <c r="D31" t="s">
        <v>869</v>
      </c>
      <c r="E31" t="s">
        <v>793</v>
      </c>
      <c r="F31" t="s">
        <v>891</v>
      </c>
    </row>
    <row r="32" spans="3:6" x14ac:dyDescent="0.25">
      <c r="C32" t="s">
        <v>848</v>
      </c>
      <c r="D32" t="s">
        <v>875</v>
      </c>
    </row>
    <row r="33" spans="3:6" x14ac:dyDescent="0.25">
      <c r="C33" t="s">
        <v>821</v>
      </c>
      <c r="D33" t="s">
        <v>853</v>
      </c>
    </row>
    <row r="34" spans="3:6" x14ac:dyDescent="0.25">
      <c r="C34" t="s">
        <v>820</v>
      </c>
      <c r="D34" t="s">
        <v>854</v>
      </c>
    </row>
    <row r="35" spans="3:6" x14ac:dyDescent="0.25">
      <c r="C35" t="s">
        <v>814</v>
      </c>
      <c r="D35" t="s">
        <v>801</v>
      </c>
      <c r="E35" t="s">
        <v>870</v>
      </c>
    </row>
    <row r="36" spans="3:6" x14ac:dyDescent="0.25">
      <c r="C36" t="s">
        <v>843</v>
      </c>
      <c r="D36" t="s">
        <v>800</v>
      </c>
    </row>
    <row r="37" spans="3:6" x14ac:dyDescent="0.25">
      <c r="C37" t="s">
        <v>847</v>
      </c>
      <c r="D37" t="s">
        <v>893</v>
      </c>
      <c r="E37" t="s">
        <v>890</v>
      </c>
    </row>
    <row r="38" spans="3:6" x14ac:dyDescent="0.25">
      <c r="C38" t="s">
        <v>846</v>
      </c>
      <c r="D38" t="s">
        <v>893</v>
      </c>
      <c r="E38" t="s">
        <v>891</v>
      </c>
    </row>
    <row r="39" spans="3:6" x14ac:dyDescent="0.25">
      <c r="C39" t="s">
        <v>819</v>
      </c>
      <c r="D39" t="s">
        <v>855</v>
      </c>
    </row>
    <row r="40" spans="3:6" x14ac:dyDescent="0.25">
      <c r="C40" t="s">
        <v>818</v>
      </c>
      <c r="D40" t="s">
        <v>856</v>
      </c>
    </row>
    <row r="41" spans="3:6" x14ac:dyDescent="0.25">
      <c r="C41" t="s">
        <v>826</v>
      </c>
      <c r="D41" t="s">
        <v>871</v>
      </c>
      <c r="E41" t="s">
        <v>872</v>
      </c>
      <c r="F41" t="s">
        <v>873</v>
      </c>
    </row>
    <row r="42" spans="3:6" x14ac:dyDescent="0.25">
      <c r="C42" t="s">
        <v>827</v>
      </c>
      <c r="D42" t="s">
        <v>857</v>
      </c>
    </row>
    <row r="43" spans="3:6" x14ac:dyDescent="0.25">
      <c r="C43" t="s">
        <v>828</v>
      </c>
      <c r="D43" t="s">
        <v>858</v>
      </c>
    </row>
  </sheetData>
  <sortState xmlns:xlrd2="http://schemas.microsoft.com/office/spreadsheetml/2017/richdata2" ref="C2:C44">
    <sortCondition ref="C7:C44"/>
  </sortState>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9A743E-5D82-40F0-9BED-2758468C78AC}">
  <sheetPr codeName="CALENDAR"/>
  <dimension ref="A1:AY79"/>
  <sheetViews>
    <sheetView showGridLines="0" topLeftCell="B1" workbookViewId="0">
      <selection activeCell="C2" sqref="C2:D3"/>
    </sheetView>
  </sheetViews>
  <sheetFormatPr defaultColWidth="9.140625" defaultRowHeight="15" x14ac:dyDescent="0.25"/>
  <cols>
    <col min="1" max="1" width="14.7109375" style="129" hidden="1" customWidth="1"/>
    <col min="2" max="2" width="10.7109375" style="64" bestFit="1" customWidth="1"/>
    <col min="3" max="4" width="24.7109375" style="62" customWidth="1"/>
    <col min="5" max="5" width="24.7109375" style="141" customWidth="1"/>
    <col min="6" max="6" width="24.7109375" style="129" customWidth="1"/>
    <col min="7" max="8" width="24.7109375" style="139" customWidth="1"/>
    <col min="9" max="9" width="24.7109375" style="62" customWidth="1"/>
    <col min="10" max="10" width="11.7109375" style="62" customWidth="1"/>
    <col min="11" max="11" width="24.7109375" style="62" customWidth="1"/>
    <col min="12" max="12" width="13.7109375" style="62" customWidth="1"/>
    <col min="13" max="13" width="9.140625" style="62"/>
    <col min="14" max="14" width="24.7109375" style="62" hidden="1" customWidth="1"/>
    <col min="15" max="15" width="13.7109375" style="130" hidden="1" customWidth="1"/>
    <col min="16" max="16" width="24.7109375" style="62" hidden="1" customWidth="1"/>
    <col min="17" max="17" width="13.7109375" style="62" hidden="1" customWidth="1"/>
    <col min="18" max="18" width="24.7109375" style="62" hidden="1" customWidth="1"/>
    <col min="19" max="19" width="13.7109375" style="62" hidden="1" customWidth="1"/>
    <col min="20" max="20" width="24.7109375" style="62" hidden="1" customWidth="1"/>
    <col min="21" max="21" width="13.7109375" style="62" hidden="1" customWidth="1"/>
    <col min="22" max="22" width="24.7109375" style="62" hidden="1" customWidth="1"/>
    <col min="23" max="23" width="13.7109375" style="62" hidden="1" customWidth="1"/>
    <col min="24" max="24" width="24.7109375" style="62" hidden="1" customWidth="1"/>
    <col min="25" max="25" width="13.7109375" style="62" hidden="1" customWidth="1"/>
    <col min="26" max="26" width="24.7109375" style="62" hidden="1" customWidth="1"/>
    <col min="27" max="27" width="13.7109375" style="62" hidden="1" customWidth="1"/>
    <col min="28" max="28" width="24.7109375" style="62" hidden="1" customWidth="1"/>
    <col min="29" max="29" width="13.7109375" style="62" hidden="1" customWidth="1"/>
    <col min="30" max="30" width="24.7109375" style="62" hidden="1" customWidth="1"/>
    <col min="31" max="31" width="13.7109375" style="62" hidden="1" customWidth="1"/>
    <col min="32" max="32" width="24.7109375" style="62" hidden="1" customWidth="1"/>
    <col min="33" max="33" width="13.7109375" style="62" hidden="1" customWidth="1"/>
    <col min="34" max="34" width="24.7109375" style="62" hidden="1" customWidth="1"/>
    <col min="35" max="35" width="13.7109375" style="62" hidden="1" customWidth="1"/>
    <col min="36" max="36" width="24.7109375" style="62" hidden="1" customWidth="1"/>
    <col min="37" max="37" width="13.7109375" style="62" hidden="1" customWidth="1"/>
    <col min="38" max="38" width="24.7109375" style="62" hidden="1" customWidth="1"/>
    <col min="39" max="39" width="13.7109375" style="62" hidden="1" customWidth="1"/>
    <col min="40" max="40" width="24.7109375" style="62" hidden="1" customWidth="1"/>
    <col min="41" max="41" width="13.7109375" style="62" hidden="1" customWidth="1"/>
    <col min="42" max="42" width="24.7109375" style="62" hidden="1" customWidth="1"/>
    <col min="43" max="43" width="13.7109375" style="62" hidden="1" customWidth="1"/>
    <col min="44" max="44" width="24.7109375" style="62" hidden="1" customWidth="1"/>
    <col min="45" max="45" width="13.7109375" style="62" hidden="1" customWidth="1"/>
    <col min="46" max="46" width="9.140625" style="62" hidden="1" customWidth="1"/>
    <col min="47" max="47" width="14.7109375" style="135" hidden="1" customWidth="1"/>
    <col min="48" max="48" width="24.7109375" style="129" hidden="1" customWidth="1"/>
    <col min="49" max="49" width="14.7109375" style="135" hidden="1" customWidth="1"/>
    <col min="50" max="50" width="24.7109375" style="129" hidden="1" customWidth="1"/>
    <col min="51" max="51" width="14.85546875" style="139" hidden="1" customWidth="1"/>
    <col min="52" max="16384" width="9.140625" style="62"/>
  </cols>
  <sheetData>
    <row r="1" spans="1:51" ht="15.75" thickBot="1" x14ac:dyDescent="0.3">
      <c r="A1" s="129" t="s">
        <v>682</v>
      </c>
      <c r="F1" s="141"/>
    </row>
    <row r="2" spans="1:51" ht="15" customHeight="1" x14ac:dyDescent="0.25">
      <c r="A2" s="129">
        <v>11</v>
      </c>
      <c r="C2" s="197" t="str" cm="1">
        <f t="array" ref="C2">_xlfn.IFS(A2=1,"AMERICAN STOCK EXCHANGE",A2=2,"AUSTRALIAN SECURITIES EXCHANGE"&amp;CHAR(10)&amp;"(AUSTRALIA STOCK EXCHANGE)",A2=3,"BURSA MALAYSIA BERHAD",A2=4,"HONG KONG STOCK EXCHANGE",A2=5,"INDONESIA STOCK EXCHANGE",A2=6,"LONDON STOCK EXCHANGE",A2=7,"NATIONAL ASSOCIATION OF SECURITIES DEALERS AUTOMATED QUOTATIONS",A2=8,"NEW YORK STOCK EXCHANGE",A2=9,"PHILIPPINE STOCK EXCHANGE",A2=10,"STOCK EXCHANGE OF THAILAND",A2=11,"SINGAPORE STOCK EXCHANGE",A2=12,"SINGAPORE STOCK EXCHANGE ODD LOT",A2=13,"SHANGHAI STOCK EXCHANGE"&amp;CHAR(10)&amp;"(A)",A2=14,"SHANGHAI STOCK EXCHANGE"&amp;CHAR(10)&amp;"(B)",A2=15,"SHENZHEN STOCK EXCHANGE"&amp;CHAR(10)&amp;"(B)",A2=16,"TOKYO STOCK EXCHANGE")</f>
        <v>SINGAPORE STOCK EXCHANGE</v>
      </c>
      <c r="D2" s="197"/>
      <c r="F2" s="141"/>
      <c r="K2" s="198" t="str">
        <f>"Public Holidays: "&amp;A36+2019</f>
        <v>Public Holidays: 2021</v>
      </c>
      <c r="L2" s="199"/>
      <c r="AX2" s="144"/>
    </row>
    <row r="3" spans="1:51" ht="15.75" thickBot="1" x14ac:dyDescent="0.3">
      <c r="A3" s="129" t="str" cm="1">
        <f t="array" ref="A3">_xlfn.IFS(A2=1,"ASE / AMEX",A2=2,"ASX",A2=3,"KLS(E) / BURSA",A2=4,"HKG / HKEX",A2=5,"JKT / IDX",A2=6,"LSE",A2=7,"NMS / NASDAQ",A2=8,"NYS / NYSE",A2=9,"PSE / PHS",A2=10,"SET",A2=11,"SGX",A2=12,"SGXO",A2=13,"SSE A",A2=14,"SSE / SSE B",A2=15,"SZSE / SZSE B",A2=16,"JPX / TSE")</f>
        <v>SGX</v>
      </c>
      <c r="C3" s="197"/>
      <c r="D3" s="197"/>
      <c r="F3" s="141"/>
      <c r="K3" s="200"/>
      <c r="L3" s="201"/>
      <c r="N3" s="195" t="s">
        <v>13</v>
      </c>
      <c r="O3" s="195"/>
      <c r="P3" s="195" t="s">
        <v>20</v>
      </c>
      <c r="Q3" s="195"/>
      <c r="R3" s="195" t="s">
        <v>25</v>
      </c>
      <c r="S3" s="195"/>
      <c r="T3" s="195" t="s">
        <v>27</v>
      </c>
      <c r="U3" s="195"/>
      <c r="V3" s="195" t="s">
        <v>30</v>
      </c>
      <c r="W3" s="195"/>
      <c r="X3" s="195" t="s">
        <v>36</v>
      </c>
      <c r="Y3" s="195"/>
      <c r="Z3" s="195" t="s">
        <v>39</v>
      </c>
      <c r="AA3" s="195"/>
      <c r="AB3" s="195" t="s">
        <v>42</v>
      </c>
      <c r="AC3" s="195"/>
      <c r="AD3" s="195" t="s">
        <v>45</v>
      </c>
      <c r="AE3" s="195"/>
      <c r="AF3" s="195" t="s">
        <v>48</v>
      </c>
      <c r="AG3" s="195"/>
      <c r="AH3" s="195" t="s">
        <v>50</v>
      </c>
      <c r="AI3" s="195"/>
      <c r="AJ3" s="195" t="s">
        <v>53</v>
      </c>
      <c r="AK3" s="195"/>
      <c r="AL3" s="195" t="s">
        <v>55</v>
      </c>
      <c r="AM3" s="195"/>
      <c r="AN3" s="195" t="s">
        <v>57</v>
      </c>
      <c r="AO3" s="195"/>
      <c r="AP3" s="195" t="s">
        <v>59</v>
      </c>
      <c r="AQ3" s="195"/>
      <c r="AR3" s="195" t="s">
        <v>62</v>
      </c>
      <c r="AS3" s="195"/>
      <c r="AU3" s="195" t="s">
        <v>752</v>
      </c>
      <c r="AV3" s="195"/>
      <c r="AW3" s="195" t="s">
        <v>756</v>
      </c>
      <c r="AX3" s="195"/>
    </row>
    <row r="4" spans="1:51" ht="15.75" thickBot="1" x14ac:dyDescent="0.3">
      <c r="F4" s="141"/>
      <c r="AU4" s="196">
        <f ca="1">TODAY()</f>
        <v>44376</v>
      </c>
      <c r="AV4" s="195"/>
      <c r="AW4" s="195" t="str">
        <f>TEXT(A22*29,"mmmm")&amp;" "&amp;A36+2019</f>
        <v>June 2021</v>
      </c>
      <c r="AX4" s="195"/>
    </row>
    <row r="5" spans="1:51" ht="15.75" customHeight="1" thickBot="1" x14ac:dyDescent="0.3">
      <c r="A5" s="129" t="s">
        <v>13</v>
      </c>
      <c r="B5" s="74" t="s">
        <v>751</v>
      </c>
      <c r="C5" s="131" t="str">
        <f>TEXT(C6,"dddd")</f>
        <v>Tuesday</v>
      </c>
      <c r="D5" s="131" t="str">
        <f t="shared" ref="D5:I5" si="0">TEXT(D6,"dddd")</f>
        <v>Wednesday</v>
      </c>
      <c r="E5" s="131" t="str">
        <f t="shared" si="0"/>
        <v>Thursday</v>
      </c>
      <c r="F5" s="131" t="str">
        <f t="shared" si="0"/>
        <v>Friday</v>
      </c>
      <c r="G5" s="131" t="str">
        <f t="shared" si="0"/>
        <v>Saturday</v>
      </c>
      <c r="H5" s="131" t="str">
        <f t="shared" si="0"/>
        <v>Sunday</v>
      </c>
      <c r="I5" s="132" t="str">
        <f t="shared" si="0"/>
        <v>Monday</v>
      </c>
      <c r="K5" s="212" t="str">
        <f>A3</f>
        <v>SGX</v>
      </c>
      <c r="L5" s="213"/>
      <c r="N5" s="62" t="s">
        <v>683</v>
      </c>
      <c r="O5" s="130" t="str">
        <f>TEXT(DATE(2019+A36,1,1),"dd mmmm")</f>
        <v>01 January</v>
      </c>
      <c r="P5" s="62" t="s">
        <v>683</v>
      </c>
      <c r="Q5" s="130" t="str">
        <f>TEXT(DATE(2019+A36,1,1),"dd mmmm")</f>
        <v>01 January</v>
      </c>
      <c r="R5" s="62" t="s">
        <v>683</v>
      </c>
      <c r="S5" s="62" t="str">
        <f>TEXT(DATE(2019+A36,1,1),"dd mmmm")</f>
        <v>01 January</v>
      </c>
      <c r="T5" s="62" t="s">
        <v>683</v>
      </c>
      <c r="U5" s="62" t="str">
        <f>TEXT(DATE(2019+A36,1,1),"dd mmmm")</f>
        <v>01 January</v>
      </c>
      <c r="V5" s="62" t="s">
        <v>683</v>
      </c>
      <c r="W5" s="62" t="str">
        <f>TEXT(DATE(2019+A36,1,1),"dd mmmm")</f>
        <v>01 January</v>
      </c>
      <c r="X5" s="62" t="s">
        <v>683</v>
      </c>
      <c r="Y5" s="62" t="str">
        <f>TEXT(DATE(2019+A36,1,1),"dd mmmm")</f>
        <v>01 January</v>
      </c>
      <c r="Z5" s="62" t="s">
        <v>683</v>
      </c>
      <c r="AA5" s="130" t="str">
        <f>TEXT(DATE(2019+A36,1,1),"dd mmmm")</f>
        <v>01 January</v>
      </c>
      <c r="AB5" s="62" t="s">
        <v>683</v>
      </c>
      <c r="AC5" s="130" t="str">
        <f>TEXT(DATE(2019+A36,1,1),"dd mmmm")</f>
        <v>01 January</v>
      </c>
      <c r="AD5" s="62" t="s">
        <v>683</v>
      </c>
      <c r="AE5" s="62" t="str">
        <f>TEXT(DATE(2019+A36,1,1),"dd mmmm")</f>
        <v>01 January</v>
      </c>
      <c r="AF5" s="62" t="s">
        <v>683</v>
      </c>
      <c r="AG5" s="62" t="str">
        <f>TEXT(DATE(2019+A36,1,1),"dd mmmm")</f>
        <v>01 January</v>
      </c>
      <c r="AH5" s="62" t="s">
        <v>683</v>
      </c>
      <c r="AI5" s="62" t="str">
        <f>TEXT(DATE(2019+A36,1,1),"dd mmmm")</f>
        <v>01 January</v>
      </c>
      <c r="AJ5" s="62" t="s">
        <v>683</v>
      </c>
      <c r="AK5" s="62" t="str">
        <f>TEXT(DATE(2019+A36,1,1),"dd mmmm")</f>
        <v>01 January</v>
      </c>
      <c r="AL5" s="62" t="s">
        <v>683</v>
      </c>
      <c r="AM5" s="62" t="str">
        <f>TEXT(DATE(2019+A36,1,1),"dd mmmm")</f>
        <v>01 January</v>
      </c>
      <c r="AN5" s="62" t="s">
        <v>683</v>
      </c>
      <c r="AO5" s="62" t="str">
        <f>TEXT(DATE(2019+A36,1,1),"dd mmmm")</f>
        <v>01 January</v>
      </c>
      <c r="AP5" s="62" t="s">
        <v>683</v>
      </c>
      <c r="AQ5" s="62" t="str">
        <f>TEXT(DATE(2019+A36,1,1),"dd mmmm")</f>
        <v>01 January</v>
      </c>
      <c r="AR5" s="62" t="s">
        <v>683</v>
      </c>
      <c r="AS5" s="62" t="str">
        <f>TEXT(DATE(2019+A36,1,1),"dd mmmm")</f>
        <v>01 January</v>
      </c>
      <c r="AU5" s="135" t="e">
        <f ca="1">IF(ISNA(AV5),NA(),N3)</f>
        <v>#N/A</v>
      </c>
      <c r="AV5" s="129" t="e" cm="1">
        <f t="array" aca="1" ref="AV5" ca="1">_xlfn.XLOOKUP(D27,DATEVALUE(O5:O34),N5:N34,NA(),0,1)</f>
        <v>#N/A</v>
      </c>
      <c r="AW5" s="148" t="e" cm="1">
        <f t="array" ref="AW5">_xlfn.XLOOKUP(MONTH(AW4),MONTH(DATEVALUE(O5:O34)),O5:O34,NA(),0,1)</f>
        <v>#N/A</v>
      </c>
      <c r="AX5" s="145" t="e" cm="1">
        <f t="array" ref="AX5">_xlfn.XLOOKUP(MONTH(AW4),MONTH(DATEVALUE(O5:O34)),N5:N34,NA(),0,1)</f>
        <v>#N/A</v>
      </c>
      <c r="AY5" s="131" t="e">
        <f>IF(AX5="#N/A",NA(),N3)</f>
        <v>#N/A</v>
      </c>
    </row>
    <row r="6" spans="1:51" ht="15.75" thickBot="1" x14ac:dyDescent="0.3">
      <c r="A6" s="129" t="s">
        <v>20</v>
      </c>
      <c r="B6" s="64">
        <f>WEEKNUM(C6)</f>
        <v>23</v>
      </c>
      <c r="C6" s="127">
        <f>DATE(A36+2019,A22,1)</f>
        <v>44348</v>
      </c>
      <c r="D6" s="127">
        <f>C6+1</f>
        <v>44349</v>
      </c>
      <c r="E6" s="127">
        <f>D6+1</f>
        <v>44350</v>
      </c>
      <c r="F6" s="127">
        <f t="shared" ref="F6:I6" si="1">E6+1</f>
        <v>44351</v>
      </c>
      <c r="G6" s="127">
        <f t="shared" si="1"/>
        <v>44352</v>
      </c>
      <c r="H6" s="127">
        <f t="shared" si="1"/>
        <v>44353</v>
      </c>
      <c r="I6" s="126">
        <f t="shared" si="1"/>
        <v>44354</v>
      </c>
      <c r="N6" s="62" t="s">
        <v>684</v>
      </c>
      <c r="O6" s="130" t="str">
        <f>TEXT(DATE(2019+A36,1,18),"dd mmmm")</f>
        <v>18 January</v>
      </c>
      <c r="P6" s="62" t="s">
        <v>692</v>
      </c>
      <c r="Q6" s="62" t="str">
        <f>TEXT(DATE(2019+A36,1,26),"dd mmmm")</f>
        <v>26 January</v>
      </c>
      <c r="R6" s="62" t="s">
        <v>720</v>
      </c>
      <c r="S6" s="62" t="str">
        <f>TEXT(DATE(2019+A36,1,28),"dd mmmm")</f>
        <v>28 January</v>
      </c>
      <c r="T6" s="62" t="s">
        <v>683</v>
      </c>
      <c r="U6" s="62" t="str">
        <f>TEXT(DATE(2019+A36,2,12),"dd mmmm")</f>
        <v>12 February</v>
      </c>
      <c r="V6" s="62" t="s">
        <v>697</v>
      </c>
      <c r="W6" s="62" t="str">
        <f>TEXT(DATE(2019+A36,2,12),"dd mmmm")</f>
        <v>12 February</v>
      </c>
      <c r="X6" s="62" t="s">
        <v>686</v>
      </c>
      <c r="Y6" s="62" t="str">
        <f>TEXT(DATE(2019+A36,4,2),"dd mmmm")</f>
        <v>02 April</v>
      </c>
      <c r="Z6" s="62" t="s">
        <v>684</v>
      </c>
      <c r="AA6" s="130" t="str">
        <f>TEXT(DATE(2019+A36,1,18),"dd mmmm")</f>
        <v>18 January</v>
      </c>
      <c r="AB6" s="62" t="s">
        <v>684</v>
      </c>
      <c r="AC6" s="130" t="str">
        <f>TEXT(DATE(2019+A36,1,18),"dd mmmm")</f>
        <v>18 January</v>
      </c>
      <c r="AD6" s="62" t="s">
        <v>697</v>
      </c>
      <c r="AE6" s="62" t="str">
        <f>TEXT(DATE(2019+A36,2,12),"dd mmmm")</f>
        <v>12 February</v>
      </c>
      <c r="AF6" s="62" t="s">
        <v>708</v>
      </c>
      <c r="AG6" s="62" t="str">
        <f>TEXT(DATE(2019+A36,2,12),"dd mmmm")</f>
        <v>12 February</v>
      </c>
      <c r="AH6" s="62" t="s">
        <v>697</v>
      </c>
      <c r="AI6" s="62" t="str">
        <f>TEXT(DATE(2019+A36,2,11),"dd mmmm")</f>
        <v>11 February</v>
      </c>
      <c r="AJ6" s="62" t="s">
        <v>697</v>
      </c>
      <c r="AK6" s="62" t="str">
        <f>TEXT(DATE(2019+A36,2,11),"dd mmmm")</f>
        <v>11 February</v>
      </c>
      <c r="AL6" s="62" t="s">
        <v>697</v>
      </c>
      <c r="AM6" s="62" t="str">
        <f>TEXT(DATE(2019+A36,2,11),"dd mmmm")</f>
        <v>11 February</v>
      </c>
      <c r="AN6" s="62" t="s">
        <v>697</v>
      </c>
      <c r="AO6" s="62" t="str">
        <f>TEXT(DATE(2019+A36,2,11),"dd mmmm")</f>
        <v>11 February</v>
      </c>
      <c r="AP6" s="62" t="s">
        <v>703</v>
      </c>
      <c r="AQ6" s="62" t="str">
        <f>TEXT(DATE(2019+A36,2,11),"dd mmmm")</f>
        <v>11 February</v>
      </c>
      <c r="AR6" s="62" t="s">
        <v>708</v>
      </c>
      <c r="AS6" s="62" t="str">
        <f>TEXT(DATE(2019+A36,1,2),"dd mmmm")</f>
        <v>02 January</v>
      </c>
      <c r="AU6" s="135" t="e">
        <f ca="1">IF(ISNA(AV6),NA(),P3)</f>
        <v>#N/A</v>
      </c>
      <c r="AV6" s="129" t="e" cm="1">
        <f t="array" aca="1" ref="AV6" ca="1">_xlfn.XLOOKUP(D27,DATEVALUE(Q5:Q34),P5:P34,NA(),0,1)</f>
        <v>#N/A</v>
      </c>
      <c r="AW6" s="149" t="e" cm="1">
        <f t="array" aca="1" ref="AW6" ca="1">IF(MONTH(OFFSET(_xlfn.XLOOKUP(MONTH(AW4),MONTH(DATEVALUE(O5:O34)),O5:O34,NA(),0,1),1,0))=MONTH(AW4),OFFSET(_xlfn.XLOOKUP(MONTH(AW4),MONTH(DATEVALUE(O5:O34)),O5:O34,NA(),0,1),1,0),NA())</f>
        <v>#N/A</v>
      </c>
      <c r="AX6" s="146" t="e" cm="1">
        <f t="array" aca="1" ref="AX6" ca="1">IF(MONTH(AW6)=MONTH(AW4),OFFSET(_xlfn.XLOOKUP(MONTH(AW4),MONTH(DATEVALUE(O5:O34)),N5:N34,NA(),0,1),1,0),NA())</f>
        <v>#N/A</v>
      </c>
      <c r="AY6" s="151" t="e">
        <f ca="1">IF(AX6="#N/A",NA(),N3)</f>
        <v>#N/A</v>
      </c>
    </row>
    <row r="7" spans="1:51" ht="15.75" thickBot="1" x14ac:dyDescent="0.3">
      <c r="A7" s="129" t="s">
        <v>25</v>
      </c>
      <c r="C7" s="128" t="str" cm="1">
        <f t="array" ref="C7">_xlfn.XLOOKUP(C6,DATEVALUE(L7:L36),K7:K36," ",0,1)</f>
        <v xml:space="preserve"> </v>
      </c>
      <c r="D7" s="128" t="str" cm="1">
        <f t="array" ref="D7">_xlfn.XLOOKUP(D6,DATEVALUE(L7:L36),K7:K36," ",0,1)</f>
        <v xml:space="preserve"> </v>
      </c>
      <c r="E7" s="128" t="str" cm="1">
        <f t="array" ref="E7">_xlfn.XLOOKUP(E6,DATEVALUE(L7:L36),K7:K36," ",0,1)</f>
        <v xml:space="preserve"> </v>
      </c>
      <c r="F7" s="128" t="str" cm="1">
        <f t="array" ref="F7">_xlfn.XLOOKUP(F6,DATEVALUE(L7:L36),K7:K36," ",0,1)</f>
        <v xml:space="preserve"> </v>
      </c>
      <c r="G7" s="128" t="str" cm="1">
        <f t="array" ref="G7">_xlfn.XLOOKUP(G6,DATEVALUE(L7:L36),K7:K36," ",0,1)</f>
        <v xml:space="preserve"> </v>
      </c>
      <c r="H7" s="128" t="str" cm="1">
        <f t="array" ref="H7">_xlfn.XLOOKUP(H6,DATEVALUE(L7:L36),K7:K36," ",0,1)</f>
        <v xml:space="preserve"> </v>
      </c>
      <c r="I7" s="128" t="str" cm="1">
        <f t="array" ref="I7">_xlfn.XLOOKUP(I6,DATEVALUE(L7:L36),K7:K36," ",0,1)</f>
        <v xml:space="preserve"> </v>
      </c>
      <c r="K7" s="62" t="str" cm="1">
        <f t="array" ref="K7">IF(INDEX(N3:AS37,ROW()-4,MATCH(A3,N3:AS3,0))=0," ",INDEX(N3:AS37,ROW()-4,MATCH(A3,N3:AS3,0)))</f>
        <v>New Years Day</v>
      </c>
      <c r="L7" s="62" t="str" cm="1">
        <f t="array" ref="L7">IF(INDEX(N3:AS37,ROW()-4,MATCH(A3,N3:AS3,0)+1)=0," ",INDEX(N3:AS37,ROW()-4,MATCH(A3,N3:AS3,0)+1))</f>
        <v>01 January</v>
      </c>
      <c r="N7" s="62" t="s">
        <v>685</v>
      </c>
      <c r="O7" s="130" t="str">
        <f>TEXT(DATE(2019+A36,2,15),"dd mmmm")</f>
        <v>15 February</v>
      </c>
      <c r="P7" s="62" t="s">
        <v>686</v>
      </c>
      <c r="Q7" s="130" t="str">
        <f>TEXT(DATE(2019+A36,4,2),"dd mmmm")</f>
        <v>02 April</v>
      </c>
      <c r="R7" s="62" t="s">
        <v>721</v>
      </c>
      <c r="S7" s="62" t="str">
        <f>TEXT(DATE(2019+A36,2,1),"dd mmmm")</f>
        <v>01 February</v>
      </c>
      <c r="T7" s="62" t="s">
        <v>683</v>
      </c>
      <c r="U7" s="62" t="str">
        <f>TEXT(DATE(2019+A36,2,15),"dd mmmm")</f>
        <v>15 February</v>
      </c>
      <c r="V7" s="62" t="s">
        <v>717</v>
      </c>
      <c r="W7" s="62" t="str">
        <f>TEXT(DATE(2019+A36,3,11),"dd mmmm")</f>
        <v>11 March</v>
      </c>
      <c r="X7" s="62" t="s">
        <v>693</v>
      </c>
      <c r="Y7" s="62" t="str">
        <f>TEXT(DATE(2019+A36,4,5),"dd mmmm")</f>
        <v>05 April</v>
      </c>
      <c r="Z7" s="62" t="s">
        <v>685</v>
      </c>
      <c r="AA7" s="130" t="str">
        <f>TEXT(DATE(2019+A36,2,15),"dd mmmm")</f>
        <v>15 February</v>
      </c>
      <c r="AB7" s="62" t="s">
        <v>685</v>
      </c>
      <c r="AC7" s="130" t="str">
        <f>TEXT(DATE(2019+A36,2,15),"dd mmmm")</f>
        <v>15 February</v>
      </c>
      <c r="AD7" s="62" t="s">
        <v>729</v>
      </c>
      <c r="AE7" s="62" t="str">
        <f>TEXT(DATE(2019+A36,2,25),"dd mmmm")</f>
        <v>25 February</v>
      </c>
      <c r="AF7" s="62" t="s">
        <v>709</v>
      </c>
      <c r="AG7" s="62" t="str">
        <f>TEXT(DATE(2019+A36,2,26),"dd mmmm")</f>
        <v>26 February</v>
      </c>
      <c r="AH7" s="62" t="s">
        <v>697</v>
      </c>
      <c r="AI7" s="62" t="str">
        <f>TEXT(DATE(2019+A36,2,12),"dd mmmm")</f>
        <v>12 February</v>
      </c>
      <c r="AJ7" s="62" t="s">
        <v>697</v>
      </c>
      <c r="AK7" s="62" t="str">
        <f>TEXT(DATE(2019+A36,2,12),"dd mmmm")</f>
        <v>12 February</v>
      </c>
      <c r="AL7" s="62" t="s">
        <v>697</v>
      </c>
      <c r="AM7" s="62" t="str">
        <f>TEXT(DATE(2019+A36,2,12),"dd mmmm")</f>
        <v>12 February</v>
      </c>
      <c r="AN7" s="62" t="s">
        <v>697</v>
      </c>
      <c r="AO7" s="62" t="str">
        <f>TEXT(DATE(2019+A36,2,12),"dd mmmm")</f>
        <v>12 February</v>
      </c>
      <c r="AP7" s="62" t="s">
        <v>703</v>
      </c>
      <c r="AQ7" s="62" t="str">
        <f>TEXT(DATE(2019+A36,2,12),"dd mmmm")</f>
        <v>12 February</v>
      </c>
      <c r="AR7" s="62" t="s">
        <v>708</v>
      </c>
      <c r="AS7" s="62" t="str">
        <f>TEXT(DATE(2019+A36,1,3),"dd mmmm")</f>
        <v>03 January</v>
      </c>
      <c r="AU7" s="135" t="e">
        <f ca="1">IF(ISNA(AV7),NA(),R3)</f>
        <v>#N/A</v>
      </c>
      <c r="AV7" s="129" t="e" cm="1">
        <f t="array" aca="1" ref="AV7" ca="1">_xlfn.XLOOKUP(D27,DATEVALUE(S5:S34),R5:R34,NA(),0,1)</f>
        <v>#N/A</v>
      </c>
      <c r="AW7" s="149" t="e" cm="1">
        <f t="array" aca="1" ref="AW7" ca="1">IF(MONTH(OFFSET(_xlfn.XLOOKUP(MONTH(AW4),MONTH(DATEVALUE(O5:O34)),O5:O34,NA(),0,1),2,0))=MONTH(AW4),OFFSET(_xlfn.XLOOKUP(MONTH(AW4),MONTH(DATEVALUE(O5:O34)),O5:O34,NA(),0,1),2,0),NA())</f>
        <v>#N/A</v>
      </c>
      <c r="AX7" s="146" t="e" cm="1">
        <f t="array" aca="1" ref="AX7" ca="1">IF(MONTH(AW7)=MONTH(AW4),OFFSET(_xlfn.XLOOKUP(MONTH(AW4),MONTH(DATEVALUE(O5:O34)),N5:N34,NA(),0,1),2,0),NA())</f>
        <v>#N/A</v>
      </c>
      <c r="AY7" s="151" t="e">
        <f ca="1">IF(AX7="#N/A",NA(),N3)</f>
        <v>#N/A</v>
      </c>
    </row>
    <row r="8" spans="1:51" ht="15.75" thickBot="1" x14ac:dyDescent="0.3">
      <c r="A8" s="129" t="s">
        <v>27</v>
      </c>
      <c r="C8" s="64"/>
      <c r="D8" s="64"/>
      <c r="F8" s="141"/>
      <c r="I8" s="64"/>
      <c r="K8" s="62" t="str" cm="1">
        <f t="array" ref="K8">IF(INDEX(N3:AS37,ROW()-4,MATCH(A3,N3:AS3,0))=0," ",INDEX(N3:AS37,ROW()-4,MATCH(A3,N3:AS3,0)))</f>
        <v>Chinese New Year</v>
      </c>
      <c r="L8" s="62" t="str" cm="1">
        <f t="array" ref="L8">IF(INDEX(N3:AS37,ROW()-4,MATCH(A3,N3:AS3,0)+1)=0," ",INDEX(N3:AS37,ROW()-4,MATCH(A3,N3:AS3,0)+1))</f>
        <v>11 February</v>
      </c>
      <c r="N8" s="62" t="s">
        <v>686</v>
      </c>
      <c r="O8" s="130" t="str">
        <f>TEXT(DATE(2019+A36,4,2),"dd mmmm")</f>
        <v>02 April</v>
      </c>
      <c r="P8" s="62" t="s">
        <v>693</v>
      </c>
      <c r="Q8" s="62" t="str">
        <f>TEXT(DATE(2019+A36,4,5),"dd mmmm")</f>
        <v>05 April</v>
      </c>
      <c r="R8" s="62" t="s">
        <v>697</v>
      </c>
      <c r="S8" s="62" t="str">
        <f>TEXT(DATE(2019+A36,2,12),"dd mmmm")</f>
        <v>12 February</v>
      </c>
      <c r="T8" s="62" t="s">
        <v>686</v>
      </c>
      <c r="U8" s="62" t="str">
        <f>TEXT(DATE(2019+A36,4,2),"dd mmmm")</f>
        <v>02 April</v>
      </c>
      <c r="V8" s="62" t="s">
        <v>686</v>
      </c>
      <c r="W8" s="62" t="str">
        <f>TEXT(DATE(2019+A36,4,2),"dd mmmm")</f>
        <v>02 April</v>
      </c>
      <c r="X8" s="62" t="s">
        <v>704</v>
      </c>
      <c r="Y8" s="62" t="str">
        <f>TEXT(DATE(2019+A36,5,3),"dd mmmm")</f>
        <v>03 May</v>
      </c>
      <c r="Z8" s="62" t="s">
        <v>686</v>
      </c>
      <c r="AA8" s="130" t="str">
        <f>TEXT(DATE(2019+A36,4,2),"dd mmmm")</f>
        <v>02 April</v>
      </c>
      <c r="AB8" s="62" t="s">
        <v>686</v>
      </c>
      <c r="AC8" s="130" t="str">
        <f>TEXT(DATE(2019+A36,4,2),"dd mmmm")</f>
        <v>02 April</v>
      </c>
      <c r="AD8" s="62" t="s">
        <v>730</v>
      </c>
      <c r="AE8" s="62" t="str">
        <f>TEXT(DATE(2019+A36,4,1),"dd mmmm")</f>
        <v>01 April</v>
      </c>
      <c r="AF8" s="62" t="s">
        <v>710</v>
      </c>
      <c r="AG8" s="62" t="str">
        <f>TEXT(DATE(2019+A36,4,6),"dd mmmm")</f>
        <v>06 April</v>
      </c>
      <c r="AH8" s="62" t="s">
        <v>686</v>
      </c>
      <c r="AI8" s="62" t="str">
        <f>TEXT(DATE(2019+A36,4,2),"dd mmmm")</f>
        <v>02 April</v>
      </c>
      <c r="AJ8" s="62" t="s">
        <v>686</v>
      </c>
      <c r="AK8" s="62" t="str">
        <f>TEXT(DATE(2019+A36,4,2),"dd mmmm")</f>
        <v>02 April</v>
      </c>
      <c r="AL8" s="62" t="s">
        <v>697</v>
      </c>
      <c r="AM8" s="62" t="str">
        <f>TEXT(DATE(2019+A36,2,15),"dd mmmm")</f>
        <v>15 February</v>
      </c>
      <c r="AN8" s="62" t="s">
        <v>697</v>
      </c>
      <c r="AO8" s="62" t="str">
        <f>TEXT(DATE(2019+A36,2,15),"dd mmmm")</f>
        <v>15 February</v>
      </c>
      <c r="AP8" s="62" t="s">
        <v>703</v>
      </c>
      <c r="AQ8" s="62" t="str">
        <f>TEXT(DATE(2019+A36,2,15),"dd mmmm")</f>
        <v>15 February</v>
      </c>
      <c r="AR8" s="62" t="s">
        <v>738</v>
      </c>
      <c r="AS8" s="62" t="str">
        <f>TEXT(DATE(2019+A36,1,11),"dd mmmm")</f>
        <v>11 January</v>
      </c>
      <c r="AU8" s="135" t="e">
        <f ca="1">IF(ISNA(AV8),NA(),T3)</f>
        <v>#N/A</v>
      </c>
      <c r="AV8" s="129" t="e" cm="1">
        <f t="array" aca="1" ref="AV8" ca="1">_xlfn.XLOOKUP(D27,DATEVALUE(U5:U34),T5:T34,NA(),0,1)</f>
        <v>#N/A</v>
      </c>
      <c r="AW8" s="149" t="e" cm="1">
        <f t="array" aca="1" ref="AW8" ca="1">IF(MONTH(OFFSET(_xlfn.XLOOKUP(MONTH(AW4),MONTH(DATEVALUE(O5:O34)),O5:O34,NA(),0,1),3,0))=MONTH(AW4),OFFSET(_xlfn.XLOOKUP(MONTH(AW4),MONTH(DATEVALUE(O5:O34)),O5:O34,NA(),0,1),3,0),NA())</f>
        <v>#N/A</v>
      </c>
      <c r="AX8" s="146" t="e" cm="1">
        <f t="array" aca="1" ref="AX8" ca="1">IF(MONTH(AW8)=MONTH(AW4),OFFSET(_xlfn.XLOOKUP(MONTH(AW4),MONTH(DATEVALUE(O5:O34)),N5:N34,NA(),0,1),3,0),NA())</f>
        <v>#N/A</v>
      </c>
      <c r="AY8" s="151" t="e">
        <f ca="1">IF(AX8="#N/A",NA(),N3)</f>
        <v>#N/A</v>
      </c>
    </row>
    <row r="9" spans="1:51" ht="15.75" thickBot="1" x14ac:dyDescent="0.3">
      <c r="A9" s="129" t="s">
        <v>30</v>
      </c>
      <c r="B9" s="74" t="s">
        <v>751</v>
      </c>
      <c r="C9" s="131" t="str">
        <f>TEXT(C10,"dddd")</f>
        <v>Tuesday</v>
      </c>
      <c r="D9" s="131" t="str">
        <f t="shared" ref="D9" si="2">TEXT(D10,"dddd")</f>
        <v>Wednesday</v>
      </c>
      <c r="E9" s="131" t="str">
        <f t="shared" ref="E9" si="3">TEXT(E10,"dddd")</f>
        <v>Thursday</v>
      </c>
      <c r="F9" s="131" t="str">
        <f t="shared" ref="F9" si="4">TEXT(F10,"dddd")</f>
        <v>Friday</v>
      </c>
      <c r="G9" s="131" t="str">
        <f t="shared" ref="G9" si="5">TEXT(G10,"dddd")</f>
        <v>Saturday</v>
      </c>
      <c r="H9" s="131" t="str">
        <f t="shared" ref="H9" si="6">TEXT(H10,"dddd")</f>
        <v>Sunday</v>
      </c>
      <c r="I9" s="131" t="str">
        <f t="shared" ref="I9" si="7">TEXT(I10,"dddd")</f>
        <v>Monday</v>
      </c>
      <c r="K9" s="62" t="str" cm="1">
        <f t="array" ref="K9">IF(INDEX(N3:AS37,ROW()-4,MATCH(A3,N3:AS3,0))=0," ",INDEX(N3:AS37,ROW()-4,MATCH(A3,N3:AS3,0)))</f>
        <v>Chinese New Year</v>
      </c>
      <c r="L9" s="62" t="str" cm="1">
        <f t="array" ref="L9">IF(INDEX(N3:AS37,ROW()-4,MATCH(A3,N3:AS3,0)+1)=0," ",INDEX(N3:AS37,ROW()-4,MATCH(A3,N3:AS3,0)+1))</f>
        <v>12 February</v>
      </c>
      <c r="N9" s="62" t="s">
        <v>687</v>
      </c>
      <c r="O9" s="130" t="str">
        <f>TEXT(DATE(2019+A36,5,31),"dd mmmm")</f>
        <v>31 May</v>
      </c>
      <c r="P9" s="62" t="s">
        <v>694</v>
      </c>
      <c r="Q9" s="62" t="str">
        <f>TEXT(DATE(2019+A36,6,14),"dd mmmm")</f>
        <v>14 June</v>
      </c>
      <c r="R9" s="62" t="s">
        <v>722</v>
      </c>
      <c r="S9" s="62" t="str">
        <f>TEXT(DATE(2019+A36,4,29),"dd mmmm")</f>
        <v>29 April</v>
      </c>
      <c r="T9" s="62" t="s">
        <v>698</v>
      </c>
      <c r="U9" s="62" t="str">
        <f>TEXT(DATE(2019+A36,4,5),"dd mmmm")</f>
        <v>05 April</v>
      </c>
      <c r="V9" s="62" t="s">
        <v>705</v>
      </c>
      <c r="W9" s="62" t="str">
        <f>TEXT(DATE(2019+A36,5,12),"dd mmmm")</f>
        <v>12 May</v>
      </c>
      <c r="X9" s="62" t="s">
        <v>704</v>
      </c>
      <c r="Y9" s="62" t="str">
        <f>TEXT(DATE(2019+A36,5,31),"dd mmmm")</f>
        <v>31 May</v>
      </c>
      <c r="Z9" s="62" t="s">
        <v>687</v>
      </c>
      <c r="AA9" s="130" t="str">
        <f>TEXT(DATE(2019+A36,5,31),"dd mmmm")</f>
        <v>31 May</v>
      </c>
      <c r="AB9" s="62" t="s">
        <v>687</v>
      </c>
      <c r="AC9" s="130" t="str">
        <f>TEXT(DATE(2019+A36,5,31),"dd mmmm")</f>
        <v>31 May</v>
      </c>
      <c r="AD9" s="62" t="s">
        <v>686</v>
      </c>
      <c r="AE9" s="62" t="str">
        <f>TEXT(DATE(2019+A36,4,2),"dd mmmm")</f>
        <v>02 April</v>
      </c>
      <c r="AF9" s="62" t="s">
        <v>711</v>
      </c>
      <c r="AG9" s="62" t="str">
        <f>TEXT(DATE(2019+A36,4,13),"dd mmmm")</f>
        <v>13 April</v>
      </c>
      <c r="AH9" s="62" t="s">
        <v>705</v>
      </c>
      <c r="AI9" s="62" t="str">
        <f>TEXT(DATE(2019+A36,5,13),"dd mmmm")</f>
        <v>13 May</v>
      </c>
      <c r="AJ9" s="62" t="s">
        <v>705</v>
      </c>
      <c r="AK9" s="62" t="str">
        <f>TEXT(DATE(2019+A36,5,13),"dd mmmm")</f>
        <v>13 May</v>
      </c>
      <c r="AL9" s="62" t="s">
        <v>697</v>
      </c>
      <c r="AM9" s="62" t="str">
        <f>TEXT(DATE(2019+A36,2,16),"dd mmmm")</f>
        <v>16 February</v>
      </c>
      <c r="AN9" s="62" t="s">
        <v>697</v>
      </c>
      <c r="AO9" s="62" t="str">
        <f>TEXT(DATE(2019+A36,2,16),"dd mmmm")</f>
        <v>16 February</v>
      </c>
      <c r="AP9" s="62" t="s">
        <v>703</v>
      </c>
      <c r="AQ9" s="62" t="str">
        <f>TEXT(DATE(2019+A36,2,16),"dd mmmm")</f>
        <v>16 February</v>
      </c>
      <c r="AR9" s="62" t="s">
        <v>701</v>
      </c>
      <c r="AS9" s="62" t="str">
        <f>TEXT(DATE(2019+A36,2,11),"dd mmmm")</f>
        <v>11 February</v>
      </c>
      <c r="AU9" s="135" t="e">
        <f ca="1">IF(ISNA(AV9),NA(),V3)</f>
        <v>#N/A</v>
      </c>
      <c r="AV9" s="129" t="e" cm="1">
        <f t="array" aca="1" ref="AV9" ca="1">_xlfn.XLOOKUP(D27,DATEVALUE(W5:W34),V5:V34,NA(),0,1)</f>
        <v>#N/A</v>
      </c>
      <c r="AW9" s="150" t="e" cm="1">
        <f t="array" aca="1" ref="AW9" ca="1">IF(MONTH(OFFSET(_xlfn.XLOOKUP(MONTH(AW4),MONTH(DATEVALUE(O5:O34)),O5:O34,NA(),0,1),4,0))=MONTH(AW4),OFFSET(_xlfn.XLOOKUP(MONTH(AW4),MONTH(DATEVALUE(O5:O34)),O5:O34,NA(),0,1),4,0),NA())</f>
        <v>#N/A</v>
      </c>
      <c r="AX9" s="147" t="e" cm="1">
        <f t="array" aca="1" ref="AX9" ca="1">IF(MONTH(AW9)=MONTH(AW4),OFFSET(_xlfn.XLOOKUP(MONTH(AW4),MONTH(DATEVALUE(O5:O34)),N5:N34,NA(),0,1),4,0),NA())</f>
        <v>#N/A</v>
      </c>
      <c r="AY9" s="152" t="e">
        <f ca="1">IF(AX9="#N/A",NA(),N3)</f>
        <v>#N/A</v>
      </c>
    </row>
    <row r="10" spans="1:51" ht="15.75" customHeight="1" thickBot="1" x14ac:dyDescent="0.3">
      <c r="A10" s="129" t="s">
        <v>36</v>
      </c>
      <c r="B10" s="64">
        <f>WEEKNUM(C10)</f>
        <v>24</v>
      </c>
      <c r="C10" s="127">
        <f>I6+1</f>
        <v>44355</v>
      </c>
      <c r="D10" s="127">
        <f>C10+1</f>
        <v>44356</v>
      </c>
      <c r="E10" s="127">
        <f t="shared" ref="E10:I10" si="8">D10+1</f>
        <v>44357</v>
      </c>
      <c r="F10" s="127">
        <f t="shared" si="8"/>
        <v>44358</v>
      </c>
      <c r="G10" s="127">
        <f t="shared" si="8"/>
        <v>44359</v>
      </c>
      <c r="H10" s="127">
        <f t="shared" si="8"/>
        <v>44360</v>
      </c>
      <c r="I10" s="127">
        <f t="shared" si="8"/>
        <v>44361</v>
      </c>
      <c r="K10" s="62" t="str" cm="1">
        <f t="array" ref="K10">IF(INDEX(N3:AS37,ROW()-4,MATCH(A3,N3:AS3,0))=0," ",INDEX(N3:AS37,ROW()-4,MATCH(A3,N3:AS3,0)))</f>
        <v>Good Friday</v>
      </c>
      <c r="L10" s="62" t="str" cm="1">
        <f t="array" ref="L10">IF(INDEX(N3:AS37,ROW()-4,MATCH(A3,N3:AS3,0)+1)=0," ",INDEX(N3:AS37,ROW()-4,MATCH(A3,N3:AS3,0)+1))</f>
        <v>02 April</v>
      </c>
      <c r="N10" s="62" t="s">
        <v>688</v>
      </c>
      <c r="O10" s="130" t="str">
        <f>TEXT(DATE(2019+A36,7,5),"dd mmmm")</f>
        <v>05 July</v>
      </c>
      <c r="P10" s="62" t="s">
        <v>695</v>
      </c>
      <c r="Q10" s="62" t="str">
        <f>TEXT(DATE(2019+A36,12,27),"dd mmmm")</f>
        <v>27 December</v>
      </c>
      <c r="R10" s="62" t="s">
        <v>723</v>
      </c>
      <c r="S10" s="62" t="str">
        <f>TEXT(DATE(2019+A36,5,1),"dd mmmm")</f>
        <v>01 May</v>
      </c>
      <c r="T10" s="62" t="s">
        <v>693</v>
      </c>
      <c r="U10" s="62" t="str">
        <f>TEXT(DATE(2019+A36,4,6),"dd mmmm")</f>
        <v>06 April</v>
      </c>
      <c r="V10" s="62" t="s">
        <v>705</v>
      </c>
      <c r="W10" s="62" t="str">
        <f>TEXT(DATE(2019+A36,5,13),"dd mmmm")</f>
        <v>13 May</v>
      </c>
      <c r="X10" s="62" t="s">
        <v>704</v>
      </c>
      <c r="Y10" s="62" t="str">
        <f>TEXT(DATE(2019+A36,8,30),"dd mmmm")</f>
        <v>30 August</v>
      </c>
      <c r="Z10" s="62" t="s">
        <v>688</v>
      </c>
      <c r="AA10" s="130" t="str">
        <f>TEXT(DATE(2019+A36,7,5),"dd mmmm")</f>
        <v>05 July</v>
      </c>
      <c r="AB10" s="62" t="s">
        <v>688</v>
      </c>
      <c r="AC10" s="130" t="str">
        <f>TEXT(DATE(2019+A36,7,5),"dd mmmm")</f>
        <v>05 July</v>
      </c>
      <c r="AD10" s="62" t="s">
        <v>731</v>
      </c>
      <c r="AE10" s="62" t="str">
        <f>TEXT(DATE(2019+A36,4,9),"dd mmmm")</f>
        <v>09 April</v>
      </c>
      <c r="AF10" s="62" t="s">
        <v>711</v>
      </c>
      <c r="AG10" s="62" t="str">
        <f>TEXT(DATE(2019+A36,4,14),"dd mmmm")</f>
        <v>14 April</v>
      </c>
      <c r="AH10" s="62" t="s">
        <v>706</v>
      </c>
      <c r="AI10" s="62" t="str">
        <f>TEXT(DATE(2019+A36,5,26),"dd mmmm")</f>
        <v>26 May</v>
      </c>
      <c r="AJ10" s="62" t="s">
        <v>706</v>
      </c>
      <c r="AK10" s="62" t="str">
        <f>TEXT(DATE(2019+A36,5,26),"dd mmmm")</f>
        <v>26 May</v>
      </c>
      <c r="AL10" s="62" t="s">
        <v>697</v>
      </c>
      <c r="AM10" s="62" t="str">
        <f>TEXT(DATE(2019+A36,2,17),"dd mmmm")</f>
        <v>17 February</v>
      </c>
      <c r="AN10" s="62" t="s">
        <v>697</v>
      </c>
      <c r="AO10" s="62" t="str">
        <f>TEXT(DATE(2019+A36,2,17),"dd mmmm")</f>
        <v>17 February</v>
      </c>
      <c r="AP10" s="62" t="s">
        <v>703</v>
      </c>
      <c r="AQ10" s="62" t="str">
        <f>TEXT(DATE(2019+A36,2,17),"dd mmmm")</f>
        <v>17 February</v>
      </c>
      <c r="AR10" s="62" t="s">
        <v>739</v>
      </c>
      <c r="AS10" s="62" t="str">
        <f>TEXT(DATE(2019+A36,2,23),"dd mmmm")</f>
        <v>23 February</v>
      </c>
      <c r="AU10" s="135" t="e">
        <f ca="1">IF(ISNA(AV10),NA(),X3)</f>
        <v>#N/A</v>
      </c>
      <c r="AV10" s="129" t="e" cm="1">
        <f t="array" aca="1" ref="AV10" ca="1">_xlfn.XLOOKUP(D27,DATEVALUE(Y5:Y34),X5:X34,NA(),0,1)</f>
        <v>#N/A</v>
      </c>
      <c r="AW10" s="148" t="str" cm="1">
        <f t="array" ref="AW10">_xlfn.XLOOKUP(MONTH(AW4),MONTH(DATEVALUE(Q5:Q34)),Q5:Q34,NA(),0,1)</f>
        <v>14 June</v>
      </c>
      <c r="AX10" s="145" t="str" cm="1">
        <f t="array" ref="AX10">_xlfn.XLOOKUP(MONTH(AW4),MONTH(DATEVALUE(Q5:Q34)),P5:P34,NA(),0,1)</f>
        <v>Queen's Birthday</v>
      </c>
      <c r="AY10" s="131" t="str">
        <f>IF(AX10="#N/A",NA(),P3)</f>
        <v>ASX</v>
      </c>
    </row>
    <row r="11" spans="1:51" ht="15.75" thickBot="1" x14ac:dyDescent="0.3">
      <c r="A11" s="129" t="s">
        <v>39</v>
      </c>
      <c r="C11" s="128" t="str" cm="1">
        <f t="array" ref="C11">_xlfn.XLOOKUP(C10,DATEVALUE(L7:L36),K7:K36," ",0,1)</f>
        <v xml:space="preserve"> </v>
      </c>
      <c r="D11" s="128" t="str" cm="1">
        <f t="array" ref="D11">_xlfn.XLOOKUP(D10,DATEVALUE(L7:L36),K7:K36," ",0,1)</f>
        <v xml:space="preserve"> </v>
      </c>
      <c r="E11" s="128" t="str" cm="1">
        <f t="array" ref="E11">_xlfn.XLOOKUP(E10,DATEVALUE(L7:L36),K7:K36," ",0,1)</f>
        <v xml:space="preserve"> </v>
      </c>
      <c r="F11" s="128" t="str" cm="1">
        <f t="array" ref="F11">_xlfn.XLOOKUP(F10,DATEVALUE(L7:L36),K7:K36," ",0,1)</f>
        <v xml:space="preserve"> </v>
      </c>
      <c r="G11" s="128" t="str" cm="1">
        <f t="array" ref="G11">_xlfn.XLOOKUP(G10,DATEVALUE(L7:L36),K7:K36," ",0,1)</f>
        <v xml:space="preserve"> </v>
      </c>
      <c r="H11" s="128" t="str" cm="1">
        <f t="array" ref="H11">_xlfn.XLOOKUP(H10,DATEVALUE(L7:L36),K7:K36," ",0,1)</f>
        <v xml:space="preserve"> </v>
      </c>
      <c r="I11" s="128" t="str" cm="1">
        <f t="array" ref="I11">_xlfn.XLOOKUP(I10,DATEVALUE(L7:L36),K7:K36," ",0,1)</f>
        <v xml:space="preserve"> </v>
      </c>
      <c r="K11" s="62" t="str" cm="1">
        <f t="array" ref="K11">IF(INDEX(N3:AS37,ROW()-4,MATCH(A3,N3:AS3,0))=0," ",INDEX(N3:AS37,ROW()-4,MATCH(A3,N3:AS3,0)))</f>
        <v>Eid al-Fitr</v>
      </c>
      <c r="L11" s="62" t="str" cm="1">
        <f t="array" ref="L11">IF(INDEX(N3:AS37,ROW()-4,MATCH(A3,N3:AS3,0)+1)=0," ",INDEX(N3:AS37,ROW()-4,MATCH(A3,N3:AS3,0)+1))</f>
        <v>13 May</v>
      </c>
      <c r="N11" s="62" t="s">
        <v>689</v>
      </c>
      <c r="O11" s="130" t="str">
        <f>TEXT(DATE(2019+A36,9,6),"dd mmmm")</f>
        <v>06 September</v>
      </c>
      <c r="P11" s="62" t="s">
        <v>696</v>
      </c>
      <c r="Q11" s="62" t="str">
        <f>TEXT(DATE(2019+A36,12,28),"dd mmmm")</f>
        <v>28 December</v>
      </c>
      <c r="R11" s="62" t="s">
        <v>705</v>
      </c>
      <c r="S11" s="62" t="str">
        <f>TEXT(DATE(2019+A36,5,13),"dd mmmm")</f>
        <v>13 May</v>
      </c>
      <c r="T11" s="62" t="s">
        <v>701</v>
      </c>
      <c r="U11" s="62" t="str">
        <f>TEXT(DATE(2019+A36,5,19),"dd mmmm")</f>
        <v>19 May</v>
      </c>
      <c r="V11" s="62" t="s">
        <v>705</v>
      </c>
      <c r="W11" s="62" t="str">
        <f>TEXT(DATE(2019+A36,5,14),"dd mmmm")</f>
        <v>14 May</v>
      </c>
      <c r="X11" s="62" t="s">
        <v>695</v>
      </c>
      <c r="Y11" s="62" t="str">
        <f>TEXT(DATE(2019+A36,12,27),"dd mmmm")</f>
        <v>27 December</v>
      </c>
      <c r="Z11" s="62" t="s">
        <v>689</v>
      </c>
      <c r="AA11" s="130" t="str">
        <f>TEXT(DATE(2019+A36,9,6),"dd mmmm")</f>
        <v>06 September</v>
      </c>
      <c r="AB11" s="62" t="s">
        <v>689</v>
      </c>
      <c r="AC11" s="130" t="str">
        <f>TEXT(DATE(2019+A36,9,6),"dd mmmm")</f>
        <v>06 September</v>
      </c>
      <c r="AD11" s="62" t="s">
        <v>705</v>
      </c>
      <c r="AE11" s="62" t="str">
        <f>TEXT(DATE(2019+A36,5,13),"dd mmmm")</f>
        <v>13 May</v>
      </c>
      <c r="AF11" s="62" t="s">
        <v>711</v>
      </c>
      <c r="AG11" s="62" t="str">
        <f>TEXT(DATE(2019+A36,4,15),"dd mmmm")</f>
        <v>15 April</v>
      </c>
      <c r="AH11" s="62" t="s">
        <v>707</v>
      </c>
      <c r="AI11" s="62" t="str">
        <f>TEXT(DATE(2019+A36,7,20),"dd mmmm")</f>
        <v>20 July</v>
      </c>
      <c r="AJ11" s="62" t="s">
        <v>707</v>
      </c>
      <c r="AK11" s="62" t="str">
        <f>TEXT(DATE(2019+A36,7,20),"dd mmmm")</f>
        <v>20 July</v>
      </c>
      <c r="AL11" s="62" t="s">
        <v>698</v>
      </c>
      <c r="AM11" s="62" t="str">
        <f>TEXT(DATE(2019+A36,4,5),"dd mmmm")</f>
        <v>05 April</v>
      </c>
      <c r="AN11" s="62" t="s">
        <v>698</v>
      </c>
      <c r="AO11" s="62" t="str">
        <f>TEXT(DATE(2019+A36,4,5),"dd mmmm")</f>
        <v>05 April</v>
      </c>
      <c r="AP11" s="62" t="s">
        <v>698</v>
      </c>
      <c r="AQ11" s="62" t="str">
        <f>TEXT(DATE(2019+A36,4,5),"dd mmmm")</f>
        <v>05 April</v>
      </c>
      <c r="AR11" s="62" t="s">
        <v>740</v>
      </c>
      <c r="AS11" s="62" t="str">
        <f>TEXT(DATE(2019+A36,3,20),"dd mmmm")</f>
        <v>20 March</v>
      </c>
      <c r="AU11" s="135" t="e">
        <f ca="1">IF(ISNA(AV11),NA(),Z3)</f>
        <v>#N/A</v>
      </c>
      <c r="AV11" s="129" t="e" cm="1">
        <f t="array" aca="1" ref="AV11" ca="1">_xlfn.XLOOKUP(D27,DATEVALUE(AA5:AA34),Z5:Z34,NA(),0,1)</f>
        <v>#N/A</v>
      </c>
      <c r="AW11" s="149" t="e" cm="1">
        <f t="array" aca="1" ref="AW11" ca="1">IF(MONTH(OFFSET(_xlfn.XLOOKUP(MONTH(AW4),MONTH(DATEVALUE(Q5:Q34)),Q5:Q34,NA(),0,1),1,0))=MONTH(AW4),OFFSET(_xlfn.XLOOKUP(MONTH(AW4),MONTH(DATEVALUE(Q5:Q34)),Q5:Q34,NA(),0,1),1,0),NA())</f>
        <v>#N/A</v>
      </c>
      <c r="AX11" s="146" t="e" cm="1">
        <f t="array" aca="1" ref="AX11" ca="1">IF(MONTH(AW11)=MONTH(AW4),OFFSET(_xlfn.XLOOKUP(MONTH(AW4),MONTH(DATEVALUE(Q5:Q34)),P5:P34,NA(),0,1),1,0),NA())</f>
        <v>#N/A</v>
      </c>
      <c r="AY11" s="151" t="e">
        <f ca="1">IF(AX11="#N/A",NA(),P3)</f>
        <v>#N/A</v>
      </c>
    </row>
    <row r="12" spans="1:51" ht="15.75" thickBot="1" x14ac:dyDescent="0.3">
      <c r="A12" s="129" t="s">
        <v>42</v>
      </c>
      <c r="C12" s="64"/>
      <c r="D12" s="64"/>
      <c r="F12" s="141"/>
      <c r="I12" s="64"/>
      <c r="K12" s="62" t="str" cm="1">
        <f t="array" ref="K12">IF(INDEX(N3:AS37,ROW()-4,MATCH(A3,N3:AS3,0))=0," ",INDEX(N3:AS37,ROW()-4,MATCH(A3,N3:AS3,0)))</f>
        <v>Vesak Day</v>
      </c>
      <c r="L12" s="62" t="str" cm="1">
        <f t="array" ref="L12">IF(INDEX(N3:AS37,ROW()-4,MATCH(A3,N3:AS3,0)+1)=0," ",INDEX(N3:AS37,ROW()-4,MATCH(A3,N3:AS3,0)+1))</f>
        <v>26 May</v>
      </c>
      <c r="N12" s="62" t="s">
        <v>690</v>
      </c>
      <c r="O12" s="130" t="str">
        <f>TEXT(DATE(2019+A36,11,25),"dd mmmm")</f>
        <v>25 November</v>
      </c>
      <c r="R12" s="62" t="s">
        <v>705</v>
      </c>
      <c r="S12" s="62" t="str">
        <f>TEXT(DATE(2019+A36,5,14),"dd mmmm")</f>
        <v>14 May</v>
      </c>
      <c r="T12" s="62" t="s">
        <v>699</v>
      </c>
      <c r="U12" s="62" t="str">
        <f>TEXT(DATE(2019+A36,6,14),"dd mmmm")</f>
        <v>14 June</v>
      </c>
      <c r="V12" s="62" t="s">
        <v>706</v>
      </c>
      <c r="W12" s="62" t="str">
        <f>TEXT(DATE(2019+A36,5,26),"dd mmmm")</f>
        <v>26 May</v>
      </c>
      <c r="X12" s="62" t="s">
        <v>696</v>
      </c>
      <c r="Y12" s="62" t="str">
        <f>TEXT(DATE(2019+A36,12,28),"dd mmmm")</f>
        <v>28 December</v>
      </c>
      <c r="Z12" s="62" t="s">
        <v>690</v>
      </c>
      <c r="AA12" s="130" t="str">
        <f>TEXT(DATE(2019+A36,11,25),"dd mmmm")</f>
        <v>25 November</v>
      </c>
      <c r="AB12" s="62" t="s">
        <v>690</v>
      </c>
      <c r="AC12" s="130" t="str">
        <f>TEXT(DATE(2019+A36,11,25),"dd mmmm")</f>
        <v>25 November</v>
      </c>
      <c r="AD12" s="62" t="s">
        <v>688</v>
      </c>
      <c r="AE12" s="62" t="str">
        <f>TEXT(DATE(2019+A36,6,12),"dd mmmm")</f>
        <v>12 June</v>
      </c>
      <c r="AF12" s="62" t="s">
        <v>689</v>
      </c>
      <c r="AG12" s="62" t="str">
        <f>TEXT(DATE(2019+A36,5,3),"dd mmmm")</f>
        <v>03 May</v>
      </c>
      <c r="AH12" s="62" t="s">
        <v>701</v>
      </c>
      <c r="AI12" s="62" t="str">
        <f>TEXT(DATE(2019+A36,8,9),"dd mmmm")</f>
        <v>09 August</v>
      </c>
      <c r="AJ12" s="62" t="s">
        <v>701</v>
      </c>
      <c r="AK12" s="62" t="str">
        <f>TEXT(DATE(2019+A36,8,9),"dd mmmm")</f>
        <v>09 August</v>
      </c>
      <c r="AL12" s="62" t="s">
        <v>689</v>
      </c>
      <c r="AM12" s="62" t="str">
        <f>TEXT(DATE(2019+A36,5,3),"dd mmmm")</f>
        <v>03 May</v>
      </c>
      <c r="AN12" s="62" t="s">
        <v>689</v>
      </c>
      <c r="AO12" s="62" t="str">
        <f>TEXT(DATE(2019+A36,5,3),"dd mmmm")</f>
        <v>03 May</v>
      </c>
      <c r="AP12" s="62" t="s">
        <v>689</v>
      </c>
      <c r="AQ12" s="62" t="str">
        <f>TEXT(DATE(2019+A36,5,3),"dd mmmm")</f>
        <v>03 May</v>
      </c>
      <c r="AR12" s="62" t="s">
        <v>741</v>
      </c>
      <c r="AS12" s="62" t="str">
        <f>TEXT(DATE(2019+A36,4,29),"dd mmmm")</f>
        <v>29 April</v>
      </c>
      <c r="AU12" s="135" t="e">
        <f ca="1">IF(ISNA(AV12),NA(),AB3)</f>
        <v>#N/A</v>
      </c>
      <c r="AV12" s="129" t="e" cm="1">
        <f t="array" aca="1" ref="AV12" ca="1">_xlfn.XLOOKUP(D27,DATEVALUE(AC5:AC34),AB5:AB34,NA(),0,1)</f>
        <v>#N/A</v>
      </c>
      <c r="AW12" s="149" t="e" cm="1">
        <f t="array" aca="1" ref="AW12" ca="1">IF(MONTH(OFFSET(_xlfn.XLOOKUP(MONTH(AW4),MONTH(DATEVALUE(Q5:Q34)),Q5:Q34,NA(),0,1),2,0))=MONTH(AW4),OFFSET(_xlfn.XLOOKUP(MONTH(AW4),MONTH(DATEVALUE(Q5:Q34)),Q5:Q34,NA(),0,1),2,0),NA())</f>
        <v>#N/A</v>
      </c>
      <c r="AX12" s="146" t="e" cm="1">
        <f t="array" aca="1" ref="AX12" ca="1">IF(MONTH(AW12)=MONTH(AW4),OFFSET(_xlfn.XLOOKUP(MONTH(AW4),MONTH(DATEVALUE(Q5:Q34)),P5:P34,NA(),0,1),2,0),NA())</f>
        <v>#N/A</v>
      </c>
      <c r="AY12" s="151" t="e">
        <f ca="1">IF(AX12="#N/A",NA(),P3)</f>
        <v>#N/A</v>
      </c>
    </row>
    <row r="13" spans="1:51" x14ac:dyDescent="0.25">
      <c r="A13" s="129" t="s">
        <v>45</v>
      </c>
      <c r="B13" s="74" t="s">
        <v>751</v>
      </c>
      <c r="C13" s="131" t="str">
        <f>TEXT(C14,"dddd")</f>
        <v>Tuesday</v>
      </c>
      <c r="D13" s="131" t="str">
        <f t="shared" ref="D13" si="9">TEXT(D14,"dddd")</f>
        <v>Wednesday</v>
      </c>
      <c r="E13" s="131" t="str">
        <f t="shared" ref="E13" si="10">TEXT(E14,"dddd")</f>
        <v>Thursday</v>
      </c>
      <c r="F13" s="131" t="str">
        <f t="shared" ref="F13" si="11">TEXT(F14,"dddd")</f>
        <v>Friday</v>
      </c>
      <c r="G13" s="131" t="str">
        <f t="shared" ref="G13" si="12">TEXT(G14,"dddd")</f>
        <v>Saturday</v>
      </c>
      <c r="H13" s="131" t="str">
        <f t="shared" ref="H13" si="13">TEXT(H14,"dddd")</f>
        <v>Sunday</v>
      </c>
      <c r="I13" s="131" t="str">
        <f t="shared" ref="I13" si="14">TEXT(I14,"dddd")</f>
        <v>Monday</v>
      </c>
      <c r="K13" s="62" t="str" cm="1">
        <f t="array" ref="K13">IF(INDEX(N3:AS37,ROW()-4,MATCH(A3,N3:AS3,0))=0," ",INDEX(N3:AS37,ROW()-4,MATCH(A3,N3:AS3,0)))</f>
        <v>Eid al-Adha</v>
      </c>
      <c r="L13" s="62" t="str" cm="1">
        <f t="array" ref="L13">IF(INDEX(N3:AS37,ROW()-4,MATCH(A3,N3:AS3,0)+1)=0," ",INDEX(N3:AS37,ROW()-4,MATCH(A3,N3:AS3,0)+1))</f>
        <v>20 July</v>
      </c>
      <c r="N13" s="62" t="s">
        <v>691</v>
      </c>
      <c r="O13" s="130" t="str">
        <f>TEXT(DATE(2019+A36,12,24),"dd mmmm")</f>
        <v>24 December</v>
      </c>
      <c r="R13" s="62" t="s">
        <v>706</v>
      </c>
      <c r="S13" s="62" t="str">
        <f>TEXT(DATE(2019+A36,5,26),"dd mmmm")</f>
        <v>26 May</v>
      </c>
      <c r="T13" s="62" t="s">
        <v>702</v>
      </c>
      <c r="U13" s="62" t="str">
        <f>TEXT(DATE(2019+A36,7,1),"dd mmmm")</f>
        <v>01 July</v>
      </c>
      <c r="V13" s="62" t="s">
        <v>718</v>
      </c>
      <c r="W13" s="62" t="str">
        <f>TEXT(DATE(2019+A36,6,1),"dd mmmm")</f>
        <v>01 June</v>
      </c>
      <c r="Z13" s="62" t="s">
        <v>691</v>
      </c>
      <c r="AA13" s="130" t="str">
        <f>TEXT(DATE(2019+A36,12,24),"dd mmmm")</f>
        <v>24 December</v>
      </c>
      <c r="AB13" s="62" t="s">
        <v>691</v>
      </c>
      <c r="AC13" s="130" t="str">
        <f>TEXT(DATE(2019+A36,12,24),"dd mmmm")</f>
        <v>24 December</v>
      </c>
      <c r="AD13" s="62" t="s">
        <v>732</v>
      </c>
      <c r="AE13" s="62" t="str">
        <f>TEXT(DATE(2019+A36,8,30),"dd mmmm")</f>
        <v>30 August</v>
      </c>
      <c r="AF13" s="62" t="s">
        <v>712</v>
      </c>
      <c r="AG13" s="62" t="str">
        <f>TEXT(DATE(2019+A36,5,4),"dd mmmm")</f>
        <v>04 May</v>
      </c>
      <c r="AH13" s="62" t="s">
        <v>708</v>
      </c>
      <c r="AI13" s="62" t="str">
        <f>TEXT(DATE(2019+A36,11,4),"dd mmmm")</f>
        <v>04 November</v>
      </c>
      <c r="AJ13" s="62" t="s">
        <v>708</v>
      </c>
      <c r="AK13" s="62" t="str">
        <f>TEXT(DATE(2019+A36,11,4),"dd mmmm")</f>
        <v>04 November</v>
      </c>
      <c r="AL13" s="62" t="s">
        <v>689</v>
      </c>
      <c r="AM13" s="62" t="str">
        <f>TEXT(DATE(2019+A36,5,4),"dd mmmm")</f>
        <v>04 May</v>
      </c>
      <c r="AN13" s="62" t="s">
        <v>689</v>
      </c>
      <c r="AO13" s="62" t="str">
        <f>TEXT(DATE(2019+A36,5,4),"dd mmmm")</f>
        <v>04 May</v>
      </c>
      <c r="AP13" s="62" t="s">
        <v>689</v>
      </c>
      <c r="AQ13" s="62" t="str">
        <f>TEXT(DATE(2019+A36,5,4),"dd mmmm")</f>
        <v>04 May</v>
      </c>
      <c r="AR13" s="62" t="s">
        <v>716</v>
      </c>
      <c r="AS13" s="62" t="str">
        <f>TEXT(DATE(2019+A36,5,3),"dd mmmm")</f>
        <v>03 May</v>
      </c>
      <c r="AU13" s="135" t="e">
        <f ca="1">IF(ISNA(AV13),NA(),AD3)</f>
        <v>#N/A</v>
      </c>
      <c r="AV13" s="129" t="e" cm="1">
        <f t="array" aca="1" ref="AV13" ca="1">_xlfn.XLOOKUP(D27,DATEVALUE(AE5:AE34),AD5:AD34,NA(),0,1)</f>
        <v>#N/A</v>
      </c>
      <c r="AW13" s="149" t="e" cm="1">
        <f t="array" aca="1" ref="AW13" ca="1">IF(MONTH(OFFSET(_xlfn.XLOOKUP(MONTH(AW4),MONTH(DATEVALUE(Q5:Q34)),Q5:Q34,NA(),0,1),3,0))=MONTH(AW4),OFFSET(_xlfn.XLOOKUP(MONTH(AW4),MONTH(DATEVALUE(Q5:Q34)),Q5:Q34,NA(),0,1),3,0),NA())</f>
        <v>#N/A</v>
      </c>
      <c r="AX13" s="146" t="e" cm="1">
        <f t="array" aca="1" ref="AX13" ca="1">IF(MONTH(AW13)=MONTH(AW4),OFFSET(_xlfn.XLOOKUP(MONTH(AW4),MONTH(DATEVALUE(Q5:Q34)),P5:P34,NA(),0,1),3,0),NA())</f>
        <v>#N/A</v>
      </c>
      <c r="AY13" s="151" t="e">
        <f ca="1">IF(AX13="#N/A",NA(),P3)</f>
        <v>#N/A</v>
      </c>
    </row>
    <row r="14" spans="1:51" ht="15.75" thickBot="1" x14ac:dyDescent="0.3">
      <c r="A14" s="129" t="s">
        <v>48</v>
      </c>
      <c r="B14" s="64">
        <f>WEEKNUM(C14)</f>
        <v>25</v>
      </c>
      <c r="C14" s="127">
        <f>I10+1</f>
        <v>44362</v>
      </c>
      <c r="D14" s="127">
        <f>C14+1</f>
        <v>44363</v>
      </c>
      <c r="E14" s="127">
        <f t="shared" ref="E14:I14" si="15">D14+1</f>
        <v>44364</v>
      </c>
      <c r="F14" s="127">
        <f t="shared" si="15"/>
        <v>44365</v>
      </c>
      <c r="G14" s="127">
        <f t="shared" si="15"/>
        <v>44366</v>
      </c>
      <c r="H14" s="127">
        <f t="shared" si="15"/>
        <v>44367</v>
      </c>
      <c r="I14" s="127">
        <f t="shared" si="15"/>
        <v>44368</v>
      </c>
      <c r="K14" s="62" t="str" cm="1">
        <f t="array" ref="K14">IF(INDEX(N3:AS37,ROW()-4,MATCH(A3,N3:AS3,0))=0," ",INDEX(N3:AS37,ROW()-4,MATCH(A3,N3:AS3,0)))</f>
        <v>National Day</v>
      </c>
      <c r="L14" s="62" t="str" cm="1">
        <f t="array" ref="L14">IF(INDEX(N3:AS37,ROW()-4,MATCH(A3,N3:AS3,0)+1)=0," ",INDEX(N3:AS37,ROW()-4,MATCH(A3,N3:AS3,0)+1))</f>
        <v>09 August</v>
      </c>
      <c r="R14" s="62" t="s">
        <v>724</v>
      </c>
      <c r="S14" s="62" t="str">
        <f>TEXT(DATE(2019+A36,5,30),"dd mmmm")</f>
        <v>30 May</v>
      </c>
      <c r="T14" s="62" t="s">
        <v>701</v>
      </c>
      <c r="U14" s="62" t="str">
        <f>TEXT(DATE(2019+A36,9,22),"dd mmmm")</f>
        <v>22 September</v>
      </c>
      <c r="V14" s="62" t="s">
        <v>707</v>
      </c>
      <c r="W14" s="62" t="str">
        <f>TEXT(DATE(2019+A36,7,20),"dd mmmm")</f>
        <v>20 July</v>
      </c>
      <c r="AD14" s="62" t="s">
        <v>733</v>
      </c>
      <c r="AE14" s="62" t="str">
        <f>TEXT(DATE(2019+A36,11,1),"dd mmmm")</f>
        <v>01 November</v>
      </c>
      <c r="AF14" s="62" t="s">
        <v>706</v>
      </c>
      <c r="AG14" s="62" t="str">
        <f>TEXT(DATE(2019+A36,5,26),"dd mmmm")</f>
        <v>26 May</v>
      </c>
      <c r="AH14" s="62" t="s">
        <v>695</v>
      </c>
      <c r="AI14" s="62" t="str">
        <f>TEXT(DATE(2019+A36,12,25),"dd mmmm")</f>
        <v>25 December</v>
      </c>
      <c r="AJ14" s="62" t="s">
        <v>695</v>
      </c>
      <c r="AK14" s="62" t="str">
        <f>TEXT(DATE(2019+A36,12,25),"dd mmmm")</f>
        <v>25 December</v>
      </c>
      <c r="AL14" s="62" t="s">
        <v>689</v>
      </c>
      <c r="AM14" s="62" t="str">
        <f>TEXT(DATE(2019+A36,5,5),"dd mmmm")</f>
        <v>05 May</v>
      </c>
      <c r="AN14" s="62" t="s">
        <v>689</v>
      </c>
      <c r="AO14" s="62" t="str">
        <f>TEXT(DATE(2019+A36,5,5),"dd mmmm")</f>
        <v>05 May</v>
      </c>
      <c r="AP14" s="62" t="s">
        <v>689</v>
      </c>
      <c r="AQ14" s="62" t="str">
        <f>TEXT(DATE(2019+A36,5,5),"dd mmmm")</f>
        <v>05 May</v>
      </c>
      <c r="AR14" s="62" t="s">
        <v>742</v>
      </c>
      <c r="AS14" s="62" t="str">
        <f>TEXT(DATE(2019+A36,5,4),"dd mmmm")</f>
        <v>04 May</v>
      </c>
      <c r="AU14" s="135" t="e">
        <f ca="1">IF(ISNA(AV14),NA(),AF3)</f>
        <v>#N/A</v>
      </c>
      <c r="AV14" s="129" t="e" cm="1">
        <f t="array" aca="1" ref="AV14" ca="1">_xlfn.XLOOKUP(D27,DATEVALUE(AG5:AG34),AF5:AF34,NA(),0,1)</f>
        <v>#N/A</v>
      </c>
      <c r="AW14" s="150" t="e" cm="1">
        <f t="array" aca="1" ref="AW14" ca="1">IF(MONTH(OFFSET(_xlfn.XLOOKUP(MONTH(AW4),MONTH(DATEVALUE(Q5:Q34)),Q5:Q34,NA(),0,1),4,0))=MONTH(AW4),OFFSET(_xlfn.XLOOKUP(MONTH(AW4),MONTH(DATEVALUE(Q5:Q34)),Q5:Q34,NA(),0,1),4,0),NA())</f>
        <v>#N/A</v>
      </c>
      <c r="AX14" s="147" t="e" cm="1">
        <f t="array" aca="1" ref="AX14" ca="1">IF(MONTH(AW14)=MONTH(AW4),OFFSET(_xlfn.XLOOKUP(MONTH(AW4),MONTH(DATEVALUE(Q5:Q34)),P5:P34,NA(),0,1),4,0),NA())</f>
        <v>#N/A</v>
      </c>
      <c r="AY14" s="152" t="e">
        <f ca="1">IF(AX14="#N/A",NA(),P3)</f>
        <v>#N/A</v>
      </c>
    </row>
    <row r="15" spans="1:51" ht="15.75" customHeight="1" thickBot="1" x14ac:dyDescent="0.3">
      <c r="A15" s="129" t="s">
        <v>50</v>
      </c>
      <c r="C15" s="128" t="str" cm="1">
        <f t="array" ref="C15">_xlfn.XLOOKUP(C14,DATEVALUE(L7:L36),K7:K36," ",0,1)</f>
        <v xml:space="preserve"> </v>
      </c>
      <c r="D15" s="128" t="str" cm="1">
        <f t="array" ref="D15">_xlfn.XLOOKUP(D14,DATEVALUE(L7:L36),K7:K36," ",0,1)</f>
        <v xml:space="preserve"> </v>
      </c>
      <c r="E15" s="128" t="str" cm="1">
        <f t="array" ref="E15">_xlfn.XLOOKUP(E14,DATEVALUE(L7:L36),K7:K36," ",0,1)</f>
        <v xml:space="preserve"> </v>
      </c>
      <c r="F15" s="128" t="str" cm="1">
        <f t="array" ref="F15">_xlfn.XLOOKUP(F14,DATEVALUE(L7:L36),K7:K36," ",0,1)</f>
        <v xml:space="preserve"> </v>
      </c>
      <c r="G15" s="128" t="str" cm="1">
        <f t="array" ref="G15">_xlfn.XLOOKUP(G14,DATEVALUE(L7:L36),K7:K36," ",0,1)</f>
        <v xml:space="preserve"> </v>
      </c>
      <c r="H15" s="128" t="str" cm="1">
        <f t="array" ref="H15">_xlfn.XLOOKUP(H14,DATEVALUE(L7:L36),K7:K36," ",0,1)</f>
        <v xml:space="preserve"> </v>
      </c>
      <c r="I15" s="128" t="str" cm="1">
        <f t="array" ref="I15">_xlfn.XLOOKUP(I14,DATEVALUE(L7:L36),K7:K36," ",0,1)</f>
        <v xml:space="preserve"> </v>
      </c>
      <c r="K15" s="62" t="str" cm="1">
        <f t="array" ref="K15">IF(INDEX(N3:AS37,ROW()-4,MATCH(A3,N3:AS3,0))=0," ",INDEX(N3:AS37,ROW()-4,MATCH(A3,N3:AS3,0)))</f>
        <v>Market Holiday</v>
      </c>
      <c r="L15" s="62" t="str" cm="1">
        <f t="array" ref="L15">IF(INDEX(N3:AS37,ROW()-4,MATCH(A3,N3:AS3,0)+1)=0," ",INDEX(N3:AS37,ROW()-4,MATCH(A3,N3:AS3,0)+1))</f>
        <v>04 November</v>
      </c>
      <c r="R15" s="62" t="s">
        <v>724</v>
      </c>
      <c r="S15" s="62" t="str">
        <f>TEXT(DATE(2019+A36,5,31),"dd mmmm")</f>
        <v>31 May</v>
      </c>
      <c r="T15" s="62" t="s">
        <v>701</v>
      </c>
      <c r="U15" s="62" t="str">
        <f>TEXT(DATE(2019+A36,10,1),"dd mmmm")</f>
        <v>01 October</v>
      </c>
      <c r="V15" s="62" t="s">
        <v>719</v>
      </c>
      <c r="W15" s="62" t="str">
        <f>TEXT(DATE(2019+A36,8,10),"dd mmmm")</f>
        <v>10 August</v>
      </c>
      <c r="AD15" s="62" t="s">
        <v>734</v>
      </c>
      <c r="AE15" s="62" t="str">
        <f>TEXT(DATE(2019+A36,11,2),"dd mmmm")</f>
        <v>02 November</v>
      </c>
      <c r="AF15" s="62" t="s">
        <v>694</v>
      </c>
      <c r="AG15" s="62" t="str">
        <f>TEXT(DATE(2019+A36,8,12),"dd mmmm")</f>
        <v>12 August</v>
      </c>
      <c r="AL15" s="62" t="s">
        <v>699</v>
      </c>
      <c r="AM15" s="62" t="str">
        <f>TEXT(DATE(2019+A36,6,14),"dd mmmm")</f>
        <v>14 June</v>
      </c>
      <c r="AN15" s="62" t="s">
        <v>699</v>
      </c>
      <c r="AO15" s="62" t="str">
        <f>TEXT(DATE(2019+A36,6,14),"dd mmmm")</f>
        <v>14 June</v>
      </c>
      <c r="AP15" s="62" t="s">
        <v>699</v>
      </c>
      <c r="AQ15" s="62" t="str">
        <f>TEXT(DATE(2019+A36,6,14),"dd mmmm")</f>
        <v>14 June</v>
      </c>
      <c r="AR15" s="62" t="s">
        <v>743</v>
      </c>
      <c r="AS15" s="62" t="str">
        <f>TEXT(DATE(2019+A36,5,5),"dd mmmm")</f>
        <v>05 May</v>
      </c>
      <c r="AU15" s="135" t="e">
        <f ca="1">IF(ISNA(AV15),NA(),AH3)</f>
        <v>#N/A</v>
      </c>
      <c r="AV15" s="129" t="e" cm="1">
        <f t="array" aca="1" ref="AV15" ca="1">_xlfn.XLOOKUP(D27,DATEVALUE(AI5:AI34),AH5:AH34,NA(),0,1)</f>
        <v>#N/A</v>
      </c>
      <c r="AW15" s="148" t="str" cm="1">
        <f t="array" ref="AW15">_xlfn.XLOOKUP(MONTH(AW4),MONTH(DATEVALUE(S5:S34)),S5:S34,NA(),0,1)</f>
        <v>20 June</v>
      </c>
      <c r="AX15" s="145" t="str" cm="1">
        <f t="array" ref="AX15">_xlfn.XLOOKUP(MONTH(AW4),MONTH(DATEVALUE(S5:S34)),R5:R34,NA(),0,1)</f>
        <v>Yang Dipertuan Agong's Birthday</v>
      </c>
      <c r="AY15" s="131" t="str">
        <f>IF(AX15="#N/A",NA(),R3)</f>
        <v>KLS(E) / BURSA</v>
      </c>
    </row>
    <row r="16" spans="1:51" ht="15.75" thickBot="1" x14ac:dyDescent="0.3">
      <c r="A16" s="129" t="s">
        <v>53</v>
      </c>
      <c r="C16" s="64"/>
      <c r="D16" s="64"/>
      <c r="F16" s="141"/>
      <c r="I16" s="64"/>
      <c r="K16" s="62" t="str" cm="1">
        <f t="array" ref="K16">IF(INDEX(N3:AS37,ROW()-4,MATCH(A3,N3:AS3,0))=0," ",INDEX(N3:AS37,ROW()-4,MATCH(A3,N3:AS3,0)))</f>
        <v>Christmas</v>
      </c>
      <c r="L16" s="62" t="str" cm="1">
        <f t="array" ref="L16">IF(INDEX(N3:AS37,ROW()-4,MATCH(A3,N3:AS3,0)+1)=0," ",INDEX(N3:AS37,ROW()-4,MATCH(A3,N3:AS3,0)+1))</f>
        <v>25 December</v>
      </c>
      <c r="R16" s="62" t="s">
        <v>725</v>
      </c>
      <c r="S16" s="62" t="str">
        <f>TEXT(DATE(2019+A36,6,20),"dd mmmm")</f>
        <v>20 June</v>
      </c>
      <c r="T16" s="62" t="s">
        <v>701</v>
      </c>
      <c r="U16" s="62" t="str">
        <f>TEXT(DATE(2019+A36,10,14),"dd mmmm")</f>
        <v>14 October</v>
      </c>
      <c r="V16" s="62" t="s">
        <v>688</v>
      </c>
      <c r="W16" s="62" t="str">
        <f>TEXT(DATE(2019+A36,8,17),"dd mmmm")</f>
        <v>17 August</v>
      </c>
      <c r="AD16" s="62" t="s">
        <v>735</v>
      </c>
      <c r="AE16" s="62" t="str">
        <f>TEXT(DATE(2019+A36,11,30),"dd mmmm")</f>
        <v>30 November</v>
      </c>
      <c r="AF16" s="62" t="s">
        <v>708</v>
      </c>
      <c r="AG16" s="62" t="str">
        <f>TEXT(DATE(2019+A36,9,24),"dd mmmm")</f>
        <v>24 September</v>
      </c>
      <c r="AL16" s="62" t="s">
        <v>700</v>
      </c>
      <c r="AM16" s="62" t="str">
        <f>TEXT(DATE(2019+A36,9,21),"dd mmmm")</f>
        <v>21 September</v>
      </c>
      <c r="AN16" s="62" t="s">
        <v>700</v>
      </c>
      <c r="AO16" s="62" t="str">
        <f>TEXT(DATE(2019+A36,9,21),"dd mmmm")</f>
        <v>21 September</v>
      </c>
      <c r="AP16" s="62" t="s">
        <v>700</v>
      </c>
      <c r="AQ16" s="62" t="str">
        <f>TEXT(DATE(2019+A36,9,20),"dd mmmm")</f>
        <v>20 September</v>
      </c>
      <c r="AR16" s="62" t="s">
        <v>744</v>
      </c>
      <c r="AS16" s="62" t="str">
        <f>TEXT(DATE(2019+A36,7,22),"dd mmmm")</f>
        <v>22 July</v>
      </c>
      <c r="AU16" s="135" t="e">
        <f ca="1">IF(ISNA(AV16),NA(),AJ3)</f>
        <v>#N/A</v>
      </c>
      <c r="AV16" s="129" t="e" cm="1">
        <f t="array" aca="1" ref="AV16" ca="1">_xlfn.XLOOKUP(D27,DATEVALUE(AK5:AK34),AJ5:AJ34,NA(),0,1)</f>
        <v>#N/A</v>
      </c>
      <c r="AW16" s="149" t="e" cm="1">
        <f t="array" aca="1" ref="AW16" ca="1">IF(MONTH(OFFSET(_xlfn.XLOOKUP(MONTH(AW4),MONTH(DATEVALUE(S5:S34)),S5:S34,NA(),0,1),1,0))=MONTH(AW4),OFFSET(_xlfn.XLOOKUP(MONTH(AW4),MONTH(DATEVALUE(S5:S34)),S5:S34,NA(),0,1),1,0),NA())</f>
        <v>#N/A</v>
      </c>
      <c r="AX16" s="146" t="e" cm="1">
        <f t="array" aca="1" ref="AX16" ca="1">IF(MONTH(AW16)=MONTH(AW4),OFFSET(_xlfn.XLOOKUP(MONTH(AW4),MONTH(DATEVALUE(S5:S34)),R5:R34,NA(),0,1),1,0),NA())</f>
        <v>#N/A</v>
      </c>
      <c r="AY16" s="151" t="e">
        <f ca="1">IF(AX16="#N/A",NA(),R3)</f>
        <v>#N/A</v>
      </c>
    </row>
    <row r="17" spans="1:51" x14ac:dyDescent="0.25">
      <c r="A17" s="129" t="s">
        <v>55</v>
      </c>
      <c r="B17" s="74" t="s">
        <v>751</v>
      </c>
      <c r="C17" s="131" t="str">
        <f>TEXT(C18,"dddd")</f>
        <v>Tuesday</v>
      </c>
      <c r="D17" s="131" t="str">
        <f t="shared" ref="D17" si="16">TEXT(D18,"dddd")</f>
        <v>Wednesday</v>
      </c>
      <c r="E17" s="131" t="str">
        <f t="shared" ref="E17" si="17">TEXT(E18,"dddd")</f>
        <v>Thursday</v>
      </c>
      <c r="F17" s="131" t="str">
        <f t="shared" ref="F17" si="18">TEXT(F18,"dddd")</f>
        <v>Friday</v>
      </c>
      <c r="G17" s="131" t="str">
        <f t="shared" ref="G17" si="19">TEXT(G18,"dddd")</f>
        <v>Saturday</v>
      </c>
      <c r="H17" s="131" t="str">
        <f t="shared" ref="H17" si="20">TEXT(H18,"dddd")</f>
        <v>Sunday</v>
      </c>
      <c r="I17" s="131" t="str">
        <f t="shared" ref="I17" si="21">TEXT(I18,"dddd")</f>
        <v>Monday</v>
      </c>
      <c r="K17" s="62" t="str" cm="1">
        <f t="array" ref="K17">IF(INDEX(N3:AS37,ROW()-4,MATCH(A3,N3:AS3,0))=0," ",INDEX(N3:AS37,ROW()-4,MATCH(A3,N3:AS3,0)))</f>
        <v xml:space="preserve"> </v>
      </c>
      <c r="L17" s="62" t="str" cm="1">
        <f t="array" ref="L17">IF(INDEX(N3:AS37,ROW()-4,MATCH(A3,N3:AS3,0)+1)=0," ",INDEX(N3:AS37,ROW()-4,MATCH(A3,N3:AS3,0)+1))</f>
        <v xml:space="preserve"> </v>
      </c>
      <c r="R17" s="62" t="s">
        <v>707</v>
      </c>
      <c r="S17" s="62" t="str">
        <f>TEXT(DATE(2019+A36,7,20),"dd mmmm")</f>
        <v>20 July</v>
      </c>
      <c r="T17" s="62" t="s">
        <v>695</v>
      </c>
      <c r="U17" s="62" t="str">
        <f>TEXT(DATE(2019+A36,12,27),"dd mmmm")</f>
        <v>27 December</v>
      </c>
      <c r="V17" s="62" t="s">
        <v>695</v>
      </c>
      <c r="W17" s="62" t="str">
        <f>TEXT(DATE(2019+A36,12,24),"dd mmmm")</f>
        <v>24 December</v>
      </c>
      <c r="AD17" s="62" t="s">
        <v>736</v>
      </c>
      <c r="AE17" s="62" t="str">
        <f>TEXT(DATE(2019+A36,12,8),"dd mmmm")</f>
        <v>08 December</v>
      </c>
      <c r="AF17" s="62" t="s">
        <v>713</v>
      </c>
      <c r="AG17" s="62" t="str">
        <f>TEXT(DATE(2019+A36,10,13),"dd mmmm")</f>
        <v>13 October</v>
      </c>
      <c r="AL17" s="62" t="s">
        <v>701</v>
      </c>
      <c r="AM17" s="62" t="str">
        <f>TEXT(DATE(2019+A36,10,1),"dd mmmm")</f>
        <v>01 October</v>
      </c>
      <c r="AN17" s="62" t="s">
        <v>701</v>
      </c>
      <c r="AO17" s="62" t="str">
        <f>TEXT(DATE(2019+A36,10,1),"dd mmmm")</f>
        <v>01 October</v>
      </c>
      <c r="AP17" s="62" t="s">
        <v>700</v>
      </c>
      <c r="AQ17" s="62" t="str">
        <f>TEXT(DATE(2019+A36,9,21),"dd mmmm")</f>
        <v>21 September</v>
      </c>
      <c r="AR17" s="62" t="s">
        <v>745</v>
      </c>
      <c r="AS17" s="62" t="str">
        <f>TEXT(DATE(2019+A36,7,23),"dd mmmm")</f>
        <v>23 July</v>
      </c>
      <c r="AU17" s="135" t="e">
        <f ca="1">IF(ISNA(AV17),NA(),AL3)</f>
        <v>#N/A</v>
      </c>
      <c r="AV17" s="129" t="e" cm="1">
        <f t="array" aca="1" ref="AV17" ca="1">_xlfn.XLOOKUP(D27,DATEVALUE(AM5:AM34),AL5:AL34,NA(),0,1)</f>
        <v>#N/A</v>
      </c>
      <c r="AW17" s="149" t="e" cm="1">
        <f t="array" aca="1" ref="AW17" ca="1">IF(MONTH(OFFSET(_xlfn.XLOOKUP(MONTH(AW4),MONTH(DATEVALUE(S5:S34)),S5:S34,NA(),0,1),2,0))=MONTH(AW4),OFFSET(_xlfn.XLOOKUP(MONTH(AW4),MONTH(DATEVALUE(S5:S34)),S5:S34,NA(),0,1),2,0),NA())</f>
        <v>#N/A</v>
      </c>
      <c r="AX17" s="146" t="e" cm="1">
        <f t="array" aca="1" ref="AX17" ca="1">IF(MONTH(AW17)=MONTH(AW4),OFFSET(_xlfn.XLOOKUP(MONTH(AW4),MONTH(DATEVALUE(S5:S34)),R5:R34,NA(),0,1),2,0),NA())</f>
        <v>#N/A</v>
      </c>
      <c r="AY17" s="151" t="e">
        <f ca="1">IF(AX17="#N/A",NA(),R3)</f>
        <v>#N/A</v>
      </c>
    </row>
    <row r="18" spans="1:51" ht="15.75" thickBot="1" x14ac:dyDescent="0.3">
      <c r="A18" s="129" t="s">
        <v>57</v>
      </c>
      <c r="B18" s="64">
        <f>WEEKNUM(C18)</f>
        <v>26</v>
      </c>
      <c r="C18" s="127">
        <f>I14+1</f>
        <v>44369</v>
      </c>
      <c r="D18" s="127">
        <f>C18+1</f>
        <v>44370</v>
      </c>
      <c r="E18" s="127">
        <f t="shared" ref="E18:I18" si="22">D18+1</f>
        <v>44371</v>
      </c>
      <c r="F18" s="127">
        <f t="shared" si="22"/>
        <v>44372</v>
      </c>
      <c r="G18" s="127">
        <f t="shared" si="22"/>
        <v>44373</v>
      </c>
      <c r="H18" s="127">
        <f t="shared" si="22"/>
        <v>44374</v>
      </c>
      <c r="I18" s="127">
        <f t="shared" si="22"/>
        <v>44375</v>
      </c>
      <c r="K18" s="62" t="str" cm="1">
        <f t="array" ref="K18">IF(INDEX(N3:AS37,ROW()-4,MATCH(A3,N3:AS3,0))=0," ",INDEX(N3:AS37,ROW()-4,MATCH(A3,N3:AS3,0)))</f>
        <v xml:space="preserve"> </v>
      </c>
      <c r="L18" s="62" t="str" cm="1">
        <f t="array" ref="L18">IF(INDEX(N3:AS37,ROW()-4,MATCH(A3,N3:AS3,0)+1)=0," ",INDEX(N3:AS37,ROW()-4,MATCH(A3,N3:AS3,0)+1))</f>
        <v xml:space="preserve"> </v>
      </c>
      <c r="R18" s="62" t="s">
        <v>719</v>
      </c>
      <c r="S18" s="62" t="str">
        <f>TEXT(DATE(2019+A36,8,10),"dd mmmm")</f>
        <v>10 August</v>
      </c>
      <c r="V18" s="62" t="s">
        <v>695</v>
      </c>
      <c r="W18" s="62" t="str">
        <f>TEXT(DATE(2019+A36,12,27),"dd mmmm")</f>
        <v>27 December</v>
      </c>
      <c r="AD18" s="62" t="s">
        <v>695</v>
      </c>
      <c r="AE18" s="62" t="str">
        <f>TEXT(DATE(2019+A36,12,24),"dd mmmm")</f>
        <v>24 December</v>
      </c>
      <c r="AF18" s="62" t="s">
        <v>714</v>
      </c>
      <c r="AG18" s="62" t="str">
        <f>TEXT(DATE(2019+A36,10,22),"dd mmmm")</f>
        <v>22 October</v>
      </c>
      <c r="AL18" s="62" t="s">
        <v>701</v>
      </c>
      <c r="AM18" s="62" t="str">
        <f>TEXT(DATE(2019+A36,10,4),"dd mmmm")</f>
        <v>04 October</v>
      </c>
      <c r="AN18" s="62" t="s">
        <v>701</v>
      </c>
      <c r="AO18" s="62" t="str">
        <f>TEXT(DATE(2019+A36,10,4),"dd mmmm")</f>
        <v>04 October</v>
      </c>
      <c r="AP18" s="62" t="s">
        <v>701</v>
      </c>
      <c r="AQ18" s="62" t="str">
        <f>TEXT(DATE(2019+A36,10,1),"dd mmmm")</f>
        <v>01 October</v>
      </c>
      <c r="AR18" s="62" t="s">
        <v>746</v>
      </c>
      <c r="AS18" s="62" t="str">
        <f>TEXT(DATE(2019+A36,8,9),"dd mmmm")</f>
        <v>09 August</v>
      </c>
      <c r="AU18" s="135" t="e">
        <f ca="1">IF(ISNA(AV18),NA(),AN3)</f>
        <v>#N/A</v>
      </c>
      <c r="AV18" s="129" t="e" cm="1">
        <f t="array" aca="1" ref="AV18" ca="1">_xlfn.XLOOKUP(D27,DATEVALUE(AO5:AO34),AN5:AN34,NA(),0,1)</f>
        <v>#N/A</v>
      </c>
      <c r="AW18" s="149" t="e" cm="1">
        <f t="array" aca="1" ref="AW18" ca="1">IF(MONTH(OFFSET(_xlfn.XLOOKUP(MONTH(AW4),MONTH(DATEVALUE(S5:S34)),S5:S34,NA(),0,1),3,0))=MONTH(AW4),OFFSET(_xlfn.XLOOKUP(MONTH(AW4),MONTH(DATEVALUE(S5:S34)),S5:S34,NA(),0,1),3,0),NA())</f>
        <v>#N/A</v>
      </c>
      <c r="AX18" s="146" t="e" cm="1">
        <f t="array" aca="1" ref="AX18" ca="1">IF(MONTH(AW18)=MONTH(AW4),OFFSET(_xlfn.XLOOKUP(MONTH(AW4),MONTH(DATEVALUE(S5:S34)),R5:R34,NA(),0,1),3,0),NA())</f>
        <v>#N/A</v>
      </c>
      <c r="AY18" s="151" t="e">
        <f ca="1">IF(AX18="#N/A",NA(),R3)</f>
        <v>#N/A</v>
      </c>
    </row>
    <row r="19" spans="1:51" ht="15.75" thickBot="1" x14ac:dyDescent="0.3">
      <c r="A19" s="129" t="s">
        <v>59</v>
      </c>
      <c r="C19" s="128" t="str" cm="1">
        <f t="array" ref="C19">_xlfn.XLOOKUP(C18,DATEVALUE(L7:L36),K7:K36," ",0,1)</f>
        <v xml:space="preserve"> </v>
      </c>
      <c r="D19" s="128" t="str" cm="1">
        <f t="array" ref="D19">_xlfn.XLOOKUP(D18,DATEVALUE(L7:L36),K7:K36," ",0,1)</f>
        <v xml:space="preserve"> </v>
      </c>
      <c r="E19" s="128" t="str" cm="1">
        <f t="array" ref="E19">_xlfn.XLOOKUP(E18,DATEVALUE(L7:L36),K7:K36," ",0,1)</f>
        <v xml:space="preserve"> </v>
      </c>
      <c r="F19" s="128" t="str" cm="1">
        <f t="array" ref="F19">_xlfn.XLOOKUP(F18,DATEVALUE(L7:L36),K7:K36," ",0,1)</f>
        <v xml:space="preserve"> </v>
      </c>
      <c r="G19" s="128" t="str" cm="1">
        <f t="array" ref="G19">_xlfn.XLOOKUP(G18,DATEVALUE(L7:L36),K7:K36," ",0,1)</f>
        <v xml:space="preserve"> </v>
      </c>
      <c r="H19" s="128" t="str" cm="1">
        <f t="array" ref="H19">_xlfn.XLOOKUP(H18,DATEVALUE(L7:L36),K7:K36," ",0,1)</f>
        <v xml:space="preserve"> </v>
      </c>
      <c r="I19" s="128" t="str" cm="1">
        <f t="array" ref="I19">_xlfn.XLOOKUP(I18,DATEVALUE(L7:L36),K7:K36," ",0,1)</f>
        <v xml:space="preserve"> </v>
      </c>
      <c r="K19" s="62" t="str" cm="1">
        <f t="array" ref="K19">IF(INDEX(N3:AS37,ROW()-4,MATCH(A3,N3:AS3,0))=0," ",INDEX(N3:AS37,ROW()-4,MATCH(A3,N3:AS3,0)))</f>
        <v xml:space="preserve"> </v>
      </c>
      <c r="L19" s="62" t="str" cm="1">
        <f t="array" ref="L19">IF(INDEX(N3:AS37,ROW()-4,MATCH(A3,N3:AS3,0)+1)=0," ",INDEX(N3:AS37,ROW()-4,MATCH(A3,N3:AS3,0)+1))</f>
        <v xml:space="preserve"> </v>
      </c>
      <c r="R19" s="62" t="s">
        <v>701</v>
      </c>
      <c r="S19" s="62" t="str">
        <f>TEXT(DATE(2019+A36,8,31),"dd mmmm")</f>
        <v>31 August</v>
      </c>
      <c r="V19" s="62" t="s">
        <v>708</v>
      </c>
      <c r="W19" s="62" t="str">
        <f>TEXT(DATE(2019+A36,12,31),"dd mmmm")</f>
        <v>31 December</v>
      </c>
      <c r="AD19" s="62" t="s">
        <v>737</v>
      </c>
      <c r="AE19" s="62" t="str">
        <f>TEXT(DATE(2019+A36,12,30),"dd mmmm")</f>
        <v>30 December</v>
      </c>
      <c r="AF19" s="62" t="s">
        <v>715</v>
      </c>
      <c r="AG19" s="62" t="str">
        <f>TEXT(DATE(2019+A36,12,6),"dd mmmm")</f>
        <v>06 December</v>
      </c>
      <c r="AL19" s="62" t="s">
        <v>701</v>
      </c>
      <c r="AM19" s="62" t="str">
        <f>TEXT(DATE(2019+A36,10,5),"dd mmmm")</f>
        <v>05 October</v>
      </c>
      <c r="AN19" s="62" t="s">
        <v>701</v>
      </c>
      <c r="AO19" s="62" t="str">
        <f>TEXT(DATE(2019+A36,10,5),"dd mmmm")</f>
        <v>05 October</v>
      </c>
      <c r="AP19" s="62" t="s">
        <v>701</v>
      </c>
      <c r="AQ19" s="62" t="str">
        <f>TEXT(DATE(2019+A36,10,4),"dd mmmm")</f>
        <v>04 October</v>
      </c>
      <c r="AR19" s="62" t="s">
        <v>738</v>
      </c>
      <c r="AS19" s="62" t="str">
        <f>TEXT(DATE(2019+A36,9,20),"dd mmmm")</f>
        <v>20 September</v>
      </c>
      <c r="AU19" s="135" t="e">
        <f ca="1">IF(ISNA(AV19),NA(),AP3)</f>
        <v>#N/A</v>
      </c>
      <c r="AV19" s="129" t="e" cm="1">
        <f t="array" aca="1" ref="AV19" ca="1">_xlfn.XLOOKUP(D27,DATEVALUE(AQ5:AQ34),AP5:AP34,NA(),0,1)</f>
        <v>#N/A</v>
      </c>
      <c r="AW19" s="150" t="e" cm="1">
        <f t="array" aca="1" ref="AW19" ca="1">IF(MONTH(OFFSET(_xlfn.XLOOKUP(MONTH(AW4),MONTH(DATEVALUE(S5:S34)),S5:S34,NA(),0,1),4,0))=MONTH(AW4),OFFSET(_xlfn.XLOOKUP(MONTH(AW4),MONTH(DATEVALUE(S5:S34)),S5:S34,NA(),0,1),4,0),NA())</f>
        <v>#N/A</v>
      </c>
      <c r="AX19" s="147" t="e" cm="1">
        <f t="array" aca="1" ref="AX19" ca="1">IF(MONTH(AW19)=MONTH(AW4),OFFSET(_xlfn.XLOOKUP(MONTH(AW4),MONTH(DATEVALUE(S5:S34)),R5:R34,NA(),0,1),4,0),NA())</f>
        <v>#N/A</v>
      </c>
      <c r="AY19" s="152" t="e">
        <f ca="1">IF(AX19="#N/A",NA(),R3)</f>
        <v>#N/A</v>
      </c>
    </row>
    <row r="20" spans="1:51" ht="15.75" customHeight="1" thickBot="1" x14ac:dyDescent="0.3">
      <c r="A20" s="129" t="s">
        <v>62</v>
      </c>
      <c r="C20" s="64"/>
      <c r="D20" s="64"/>
      <c r="F20" s="141"/>
      <c r="I20" s="64"/>
      <c r="K20" s="62" t="str" cm="1">
        <f t="array" ref="K20">IF(INDEX(N3:AS37,ROW()-4,MATCH(A3,N3:AS3,0))=0," ",INDEX(N3:AS37,ROW()-4,MATCH(A3,N3:AS3,0)))</f>
        <v xml:space="preserve"> </v>
      </c>
      <c r="L20" s="62" t="str" cm="1">
        <f t="array" ref="L20">IF(INDEX(N3:AS37,ROW()-4,MATCH(A3,N3:AS3,0)+1)=0," ",INDEX(N3:AS37,ROW()-4,MATCH(A3,N3:AS3,0)+1))</f>
        <v xml:space="preserve"> </v>
      </c>
      <c r="R20" s="62" t="s">
        <v>726</v>
      </c>
      <c r="S20" s="62" t="str">
        <f>TEXT(DATE(2019+A36,9,16),"dd mmmm")</f>
        <v>16 September</v>
      </c>
      <c r="AD20" s="62" t="s">
        <v>683</v>
      </c>
      <c r="AE20" s="62" t="str">
        <f>TEXT(DATE(2019+A36,12,31),"dd mmmm")</f>
        <v>31 December</v>
      </c>
      <c r="AF20" s="62" t="s">
        <v>716</v>
      </c>
      <c r="AG20" s="62" t="str">
        <f>TEXT(DATE(2019+A36,12,10),"dd mmmm")</f>
        <v>10 December</v>
      </c>
      <c r="AL20" s="62" t="s">
        <v>701</v>
      </c>
      <c r="AM20" s="62" t="str">
        <f>TEXT(DATE(2019+A36,10,6),"dd mmmm")</f>
        <v>06 October</v>
      </c>
      <c r="AN20" s="62" t="s">
        <v>701</v>
      </c>
      <c r="AO20" s="62" t="str">
        <f>TEXT(DATE(2019+A36,10,6),"dd mmmm")</f>
        <v>06 October</v>
      </c>
      <c r="AP20" s="62" t="s">
        <v>701</v>
      </c>
      <c r="AQ20" s="62" t="str">
        <f>TEXT(DATE(2019+A36,10,5),"dd mmmm")</f>
        <v>05 October</v>
      </c>
      <c r="AR20" s="62" t="s">
        <v>747</v>
      </c>
      <c r="AS20" s="62" t="str">
        <f>TEXT(DATE(2019+A36,9,23),"dd mmmm")</f>
        <v>23 September</v>
      </c>
      <c r="AU20" s="135" t="e">
        <f ca="1">IF(ISNA(AV20),NA(),AR3)</f>
        <v>#N/A</v>
      </c>
      <c r="AV20" s="129" t="e" cm="1">
        <f t="array" aca="1" ref="AV20" ca="1">_xlfn.XLOOKUP(D27,DATEVALUE(AS5:AS34),AR5:AR34,NA(),0,1)</f>
        <v>#N/A</v>
      </c>
      <c r="AW20" s="148" t="str" cm="1">
        <f t="array" ref="AW20">_xlfn.XLOOKUP(MONTH(AW4),MONTH(DATEVALUE(U5:U34)),U5:U34,NA(),0,1)</f>
        <v>14 June</v>
      </c>
      <c r="AX20" s="145" t="str" cm="1">
        <f t="array" ref="AX20">_xlfn.XLOOKUP(MONTH(AW4),MONTH(DATEVALUE(U5:U34)),T5:T34,NA(),0,1)</f>
        <v>Dragon Boat Festival</v>
      </c>
      <c r="AY20" s="131" t="str">
        <f>IF(AX20="#N/A",NA(),T3)</f>
        <v>HKG / HKEX</v>
      </c>
    </row>
    <row r="21" spans="1:51" x14ac:dyDescent="0.25">
      <c r="B21" s="74" t="s">
        <v>751</v>
      </c>
      <c r="C21" s="131" t="str">
        <f>TEXT(C22,"dddd")</f>
        <v>Tuesday</v>
      </c>
      <c r="D21" s="131" t="str">
        <f t="shared" ref="D21" si="23">TEXT(D22,"dddd")</f>
        <v>Wednesday</v>
      </c>
      <c r="E21" s="131" t="str">
        <f t="shared" ref="E21" si="24">TEXT(E22,"dddd")</f>
        <v xml:space="preserve"> </v>
      </c>
      <c r="F21" s="141"/>
      <c r="I21" s="64"/>
      <c r="K21" s="62" t="str" cm="1">
        <f t="array" ref="K21">IF(INDEX(N3:AS37,ROW()-4,MATCH(A3,N3:AS3,0))=0," ",INDEX(N3:AS37,ROW()-4,MATCH(A3,N3:AS3,0)))</f>
        <v xml:space="preserve"> </v>
      </c>
      <c r="L21" s="62" t="str" cm="1">
        <f t="array" ref="L21">IF(INDEX(N3:AS37,ROW()-4,MATCH(A3,N3:AS3,0)+1)=0," ",INDEX(N3:AS37,ROW()-4,MATCH(A3,N3:AS3,0)+1))</f>
        <v xml:space="preserve"> </v>
      </c>
      <c r="R21" s="62" t="s">
        <v>727</v>
      </c>
      <c r="S21" s="62" t="str">
        <f>TEXT(DATE(2019+A36,10,19),"dd mmmm")</f>
        <v>19 October</v>
      </c>
      <c r="AF21" s="62" t="s">
        <v>683</v>
      </c>
      <c r="AG21" s="62" t="str">
        <f>TEXT(DATE(2019+A36,12,31),"dd mmmm")</f>
        <v>31 December</v>
      </c>
      <c r="AP21" s="62" t="s">
        <v>701</v>
      </c>
      <c r="AQ21" s="62" t="str">
        <f>TEXT(DATE(2019+A36,10,6),"dd mmmm")</f>
        <v>06 October</v>
      </c>
      <c r="AR21" s="62" t="s">
        <v>748</v>
      </c>
      <c r="AS21" s="62" t="str">
        <f>TEXT(DATE(2019+A36,11,3),"dd mmmm")</f>
        <v>03 November</v>
      </c>
      <c r="AW21" s="149" t="e" cm="1">
        <f t="array" aca="1" ref="AW21" ca="1">IF(MONTH(OFFSET(_xlfn.XLOOKUP(MONTH(AW4),MONTH(DATEVALUE(U5:U34)),U5:U34,NA(),0,1),1,0))=MONTH(AW4),OFFSET(_xlfn.XLOOKUP(MONTH(AW4),MONTH(DATEVALUE(U5:U34)),U5:U34,NA(),0,1),1,0),NA())</f>
        <v>#N/A</v>
      </c>
      <c r="AX21" s="146" t="e" cm="1">
        <f t="array" aca="1" ref="AX21" ca="1">IF(MONTH(AW21)=MONTH(AW4),OFFSET(_xlfn.XLOOKUP(MONTH(AW4),MONTH(DATEVALUE(U5:U34)),T5:T34,NA(),0,1),1,0),NA())</f>
        <v>#N/A</v>
      </c>
      <c r="AY21" s="151" t="e">
        <f ca="1">IF(AX21="#N/A",NA(),T3)</f>
        <v>#N/A</v>
      </c>
    </row>
    <row r="22" spans="1:51" ht="15.75" thickBot="1" x14ac:dyDescent="0.3">
      <c r="A22" s="129">
        <v>6</v>
      </c>
      <c r="B22" s="64">
        <f>WEEKNUM(C22)</f>
        <v>27</v>
      </c>
      <c r="C22" s="127">
        <f>IF(NOT(A22=2),I18+1," ")</f>
        <v>44376</v>
      </c>
      <c r="D22" s="127">
        <f>IF(NOT(A22=2),C22+1," ")</f>
        <v>44377</v>
      </c>
      <c r="E22" s="127" t="str" cm="1">
        <f t="array" ref="E22">_xlfn.IFS(A22=1,D22+1,A22=2," ",A22=3,D22+1,A22=4," ",A22=5,D22+1,A22=6," ",A22=7,D22+1,A22=8,D22+1,A22=9," ",A22=10,D22+1,A22=11," ",A22=12,D22+1)</f>
        <v xml:space="preserve"> </v>
      </c>
      <c r="F22" s="142"/>
      <c r="G22" s="140"/>
      <c r="H22" s="140"/>
      <c r="I22" s="125"/>
      <c r="K22" s="62" t="str" cm="1">
        <f t="array" ref="K22">IF(INDEX(N3:AS37,ROW()-4,MATCH(A3,N3:AS3,0))=0," ",INDEX(N3:AS37,ROW()-4,MATCH(A3,N3:AS3,0)))</f>
        <v xml:space="preserve"> </v>
      </c>
      <c r="L22" s="62" t="str" cm="1">
        <f t="array" ref="L22">IF(INDEX(N3:AS37,ROW()-4,MATCH(A3,N3:AS3,0)+1)=0," ",INDEX(N3:AS37,ROW()-4,MATCH(A3,N3:AS3,0)+1))</f>
        <v xml:space="preserve"> </v>
      </c>
      <c r="R22" s="62" t="s">
        <v>728</v>
      </c>
      <c r="S22" s="62" t="str">
        <f>TEXT(DATE(2019+A36,11,4),"dd mmmm")</f>
        <v>04 November</v>
      </c>
      <c r="AP22" s="62" t="s">
        <v>701</v>
      </c>
      <c r="AQ22" s="62" t="str">
        <f>TEXT(DATE(2019+A36,10,7),"dd mmmm")</f>
        <v>07 October</v>
      </c>
      <c r="AR22" s="62" t="s">
        <v>749</v>
      </c>
      <c r="AS22" s="62" t="str">
        <f>TEXT(DATE(2019+A36,11,23),"dd mmmm")</f>
        <v>23 November</v>
      </c>
      <c r="AW22" s="149" t="e" cm="1">
        <f t="array" aca="1" ref="AW22" ca="1">IF(MONTH(OFFSET(_xlfn.XLOOKUP(MONTH(AW4),MONTH(DATEVALUE(U5:U34)),U5:U34,NA(),0,1),2,0))=MONTH(AW4),OFFSET(_xlfn.XLOOKUP(MONTH(AW4),MONTH(DATEVALUE(U5:U34)),U5:U34,NA(),0,1),2,0),NA())</f>
        <v>#N/A</v>
      </c>
      <c r="AX22" s="146" t="e" cm="1">
        <f t="array" aca="1" ref="AX22" ca="1">IF(MONTH(AW22)=MONTH(AW4),OFFSET(_xlfn.XLOOKUP(MONTH(AW4),MONTH(DATEVALUE(U5:U34)),T5:T34,NA(),0,1),2,0),NA())</f>
        <v>#N/A</v>
      </c>
      <c r="AY22" s="151" t="e">
        <f ca="1">IF(AX22="#N/A",NA(),T3)</f>
        <v>#N/A</v>
      </c>
    </row>
    <row r="23" spans="1:51" ht="15.75" thickBot="1" x14ac:dyDescent="0.3">
      <c r="A23" s="129" t="s">
        <v>670</v>
      </c>
      <c r="C23" s="128" t="str" cm="1">
        <f t="array" ref="C23">_xlfn.XLOOKUP(C22,DATEVALUE(L7:L36),K7:K36," ",0,1)</f>
        <v xml:space="preserve"> </v>
      </c>
      <c r="D23" s="128" t="str" cm="1">
        <f t="array" ref="D23">_xlfn.XLOOKUP(D22,DATEVALUE(L7:L36),K7:K36," ",0,1)</f>
        <v xml:space="preserve"> </v>
      </c>
      <c r="E23" s="128" t="str" cm="1">
        <f t="array" ref="E23">_xlfn.XLOOKUP(E22,DATEVALUE(L7:L36),K7:K36," ",0,1)</f>
        <v xml:space="preserve"> </v>
      </c>
      <c r="F23" s="141"/>
      <c r="I23" s="64"/>
      <c r="K23" s="62" t="str" cm="1">
        <f t="array" ref="K23">IF(INDEX(N3:AS37,ROW()-4,MATCH(A3,N3:AS3,0))=0," ",INDEX(N3:AS37,ROW()-4,MATCH(A3,N3:AS3,0)))</f>
        <v xml:space="preserve"> </v>
      </c>
      <c r="L23" s="62" t="str" cm="1">
        <f t="array" ref="L23">IF(INDEX(N3:AS37,ROW()-4,MATCH(A3,N3:AS3,0)+1)=0," ",INDEX(N3:AS37,ROW()-4,MATCH(A3,N3:AS3,0)+1))</f>
        <v xml:space="preserve"> </v>
      </c>
      <c r="AR23" s="62" t="s">
        <v>708</v>
      </c>
      <c r="AS23" s="62" t="str">
        <f>TEXT(DATE(2019+A36,12,31),"dd mmmm")</f>
        <v>31 December</v>
      </c>
      <c r="AW23" s="149" t="e" cm="1">
        <f t="array" aca="1" ref="AW23" ca="1">IF(MONTH(OFFSET(_xlfn.XLOOKUP(MONTH(AW4),MONTH(DATEVALUE(U5:U34)),U5:U34,NA(),0,1),3,0))=MONTH(AW4),OFFSET(_xlfn.XLOOKUP(MONTH(AW4),MONTH(DATEVALUE(U5:U34)),U5:U34,NA(),0,1),3,0),NA())</f>
        <v>#N/A</v>
      </c>
      <c r="AX23" s="146" t="e" cm="1">
        <f t="array" aca="1" ref="AX23" ca="1">IF(MONTH(AW23)=MONTH(AW4),OFFSET(_xlfn.XLOOKUP(MONTH(AW4),MONTH(DATEVALUE(U5:U34)),T5:T34,NA(),0,1),3,0),NA())</f>
        <v>#N/A</v>
      </c>
      <c r="AY23" s="151" t="e">
        <f ca="1">IF(AX23="#N/A",NA(),T3)</f>
        <v>#N/A</v>
      </c>
    </row>
    <row r="24" spans="1:51" ht="15.75" thickBot="1" x14ac:dyDescent="0.3">
      <c r="A24" s="129" t="s">
        <v>671</v>
      </c>
      <c r="C24" s="64"/>
      <c r="D24" s="64"/>
      <c r="F24" s="141"/>
      <c r="I24" s="64"/>
      <c r="K24" s="62" t="str" cm="1">
        <f t="array" ref="K24">IF(INDEX(N3:AS37,ROW()-4,MATCH(A3,N3:AS3,0))=0," ",INDEX(N3:AS37,ROW()-4,MATCH(A3,N3:AS3,0)))</f>
        <v xml:space="preserve"> </v>
      </c>
      <c r="L24" s="62" t="str" cm="1">
        <f t="array" ref="L24">IF(INDEX(N3:AS37,ROW()-4,MATCH(A3,N3:AS3,0)+1)=0," ",INDEX(N3:AS37,ROW()-4,MATCH(A3,N3:AS3,0)+1))</f>
        <v xml:space="preserve"> </v>
      </c>
      <c r="AW24" s="150" t="e" cm="1">
        <f t="array" aca="1" ref="AW24" ca="1">IF(MONTH(OFFSET(_xlfn.XLOOKUP(MONTH(AW4),MONTH(DATEVALUE(U5:U34)),U5:U34,NA(),0,1),4,0))=MONTH(AW4),OFFSET(_xlfn.XLOOKUP(MONTH(AW4),MONTH(DATEVALUE(U5:U34)),U5:U34,NA(),0,1),4,0),NA())</f>
        <v>#N/A</v>
      </c>
      <c r="AX24" s="147" t="e" cm="1">
        <f t="array" aca="1" ref="AX24" ca="1">IF(MONTH(AW24)=MONTH(AW4),OFFSET(_xlfn.XLOOKUP(MONTH(AW4),MONTH(DATEVALUE(U5:U34)),T5:T34,NA(),0,1),4,0),NA())</f>
        <v>#N/A</v>
      </c>
      <c r="AY24" s="152" t="e">
        <f ca="1">IF(AX24="#N/A",NA(),T3)</f>
        <v>#N/A</v>
      </c>
    </row>
    <row r="25" spans="1:51" ht="15" customHeight="1" x14ac:dyDescent="0.25">
      <c r="A25" s="129" t="s">
        <v>672</v>
      </c>
      <c r="F25" s="141"/>
      <c r="K25" s="62" t="str" cm="1">
        <f t="array" ref="K25">IF(INDEX(N3:AS37,ROW()-4,MATCH(A3,N3:AS3,0))=0," ",INDEX(N3:AS37,ROW()-4,MATCH(A3,N3:AS3,0)))</f>
        <v xml:space="preserve"> </v>
      </c>
      <c r="L25" s="62" t="str" cm="1">
        <f t="array" ref="L25">IF(INDEX(N3:AS37,ROW()-4,MATCH(A3,N3:AS3,0)+1)=0," ",INDEX(N3:AS37,ROW()-4,MATCH(A3,N3:AS3,0)+1))</f>
        <v xml:space="preserve"> </v>
      </c>
      <c r="AW25" s="148" t="str" cm="1">
        <f t="array" ref="AW25">_xlfn.XLOOKUP(MONTH(AW4),MONTH(DATEVALUE(W5:W34)),W5:W34,NA(),0,1)</f>
        <v>01 June</v>
      </c>
      <c r="AX25" s="145" t="str" cm="1">
        <f t="array" ref="AX25">_xlfn.XLOOKUP(MONTH(AW4),MONTH(DATEVALUE(W5:W34)),V5:V34,NA(),0,1)</f>
        <v>Pancasila Day</v>
      </c>
      <c r="AY25" s="131" t="str">
        <f>IF(AX25="#N/A",NA(),V3)</f>
        <v>JKT / IDX</v>
      </c>
    </row>
    <row r="26" spans="1:51" ht="15.75" thickBot="1" x14ac:dyDescent="0.3">
      <c r="A26" s="129" t="s">
        <v>673</v>
      </c>
      <c r="F26" s="141"/>
      <c r="K26" s="62" t="str" cm="1">
        <f t="array" ref="K26">IF(INDEX(N3:AS37,ROW()-4,MATCH(A3,N3:AS3,0))=0," ",INDEX(N3:AS37,ROW()-4,MATCH(A3,N3:AS3,0)))</f>
        <v xml:space="preserve"> </v>
      </c>
      <c r="L26" s="62" t="str" cm="1">
        <f t="array" ref="L26">IF(INDEX(N3:AS37,ROW()-4,MATCH(A3,N3:AS3,0)+1)=0," ",INDEX(N3:AS37,ROW()-4,MATCH(A3,N3:AS3,0)+1))</f>
        <v xml:space="preserve"> </v>
      </c>
      <c r="AW26" s="149" t="e" cm="1">
        <f t="array" aca="1" ref="AW26" ca="1">IF(MONTH(OFFSET(_xlfn.XLOOKUP(MONTH(AW4),MONTH(DATEVALUE(W5:W34)),W5:W34,NA(),0,1),1,0))=MONTH(AW4),OFFSET(_xlfn.XLOOKUP(MONTH(AW4),MONTH(DATEVALUE(W5:W34)),W5:W34,NA(),0,1),1,0),NA())</f>
        <v>#N/A</v>
      </c>
      <c r="AX26" s="146" t="e" cm="1">
        <f t="array" aca="1" ref="AX26" ca="1">IF(MONTH(AW26)=MONTH(AW4),OFFSET(_xlfn.XLOOKUP(MONTH(AW4),MONTH(DATEVALUE(W5:W34)),V5:V34,NA(),0,1),1,0),NA())</f>
        <v>#N/A</v>
      </c>
      <c r="AY26" s="151" t="e">
        <f ca="1">IF(AX26="#N/A",NA(),V3)</f>
        <v>#N/A</v>
      </c>
    </row>
    <row r="27" spans="1:51" ht="15.75" thickBot="1" x14ac:dyDescent="0.3">
      <c r="A27" s="129" t="s">
        <v>674</v>
      </c>
      <c r="C27" s="136" t="s">
        <v>750</v>
      </c>
      <c r="D27" s="137">
        <f ca="1">TODAY()</f>
        <v>44376</v>
      </c>
      <c r="E27" s="214" t="str">
        <f ca="1">"Public Holidays: "&amp;TEXT(TODAY(),"dddd")&amp;", "&amp;TEXT(TODAY(),"d")&amp;" "&amp;TEXT(TODAY(),"mmmm")&amp;" "&amp;TEXT(TODAY(),"yyyy")</f>
        <v>Public Holidays: Tuesday, 29 June 2021</v>
      </c>
      <c r="F27" s="215"/>
      <c r="G27" s="216" t="str">
        <f>"Public Holidays: "&amp;TEXT(A22*29,"mmmm")&amp;" "&amp;A36+2019</f>
        <v>Public Holidays: June 2021</v>
      </c>
      <c r="H27" s="214"/>
      <c r="I27" s="215"/>
      <c r="K27" s="62" t="str" cm="1">
        <f t="array" ref="K27">IF(INDEX(N3:AS37,ROW()-4,MATCH(A3,N3:AS3,0))=0," ",INDEX(N3:AS37,ROW()-4,MATCH(A3,N3:AS3,0)))</f>
        <v xml:space="preserve"> </v>
      </c>
      <c r="L27" s="62" t="str" cm="1">
        <f t="array" ref="L27">IF(INDEX(N3:AS37,ROW()-4,MATCH(A3,N3:AS3,0)+1)=0," ",INDEX(N3:AS37,ROW()-4,MATCH(A3,N3:AS3,0)+1))</f>
        <v xml:space="preserve"> </v>
      </c>
      <c r="AW27" s="149" t="e" cm="1">
        <f t="array" aca="1" ref="AW27" ca="1">IF(MONTH(OFFSET(_xlfn.XLOOKUP(MONTH(AW4),MONTH(DATEVALUE(W5:W34)),W5:W34,NA(),0,1),2,0))=MONTH(AW4),OFFSET(_xlfn.XLOOKUP(MONTH(AW4),MONTH(DATEVALUE(W5:W34)),W5:W34,NA(),0,1),2,0),NA())</f>
        <v>#N/A</v>
      </c>
      <c r="AX27" s="146" t="e" cm="1">
        <f t="array" aca="1" ref="AX27" ca="1">IF(MONTH(AW27)=MONTH(AW4),OFFSET(_xlfn.XLOOKUP(MONTH(AW4),MONTH(DATEVALUE(W5:W34)),V5:V34,NA(),0,1),2,0),NA())</f>
        <v>#N/A</v>
      </c>
      <c r="AY27" s="151" t="e">
        <f ca="1">IF(AX27="#N/A",NA(),V3)</f>
        <v>#N/A</v>
      </c>
    </row>
    <row r="28" spans="1:51" ht="15.75" thickBot="1" x14ac:dyDescent="0.3">
      <c r="A28" s="129" t="s">
        <v>675</v>
      </c>
      <c r="C28" s="206" t="str">
        <f ca="1">IF(HOUR(NOW())&lt;10,LEFT("0"&amp;HOUR(NOW()),2),HOUR(NOW())) &amp; ":" &amp; RIGHT("0"&amp;MINUTE(NOW()),2) &amp; IF(HOUR(NOW())&lt;13," AM"," PM")</f>
        <v>18:47 PM</v>
      </c>
      <c r="D28" s="207"/>
      <c r="K28" s="62" t="str" cm="1">
        <f t="array" ref="K28">IF(INDEX(N3:AS37,ROW()-4,MATCH(A3,N3:AS3,0))=0," ",INDEX(N3:AS37,ROW()-4,MATCH(A3,N3:AS3,0)))</f>
        <v xml:space="preserve"> </v>
      </c>
      <c r="L28" s="62" t="str" cm="1">
        <f t="array" ref="L28">IF(INDEX(N3:AS37,ROW()-4,MATCH(A3,N3:AS3,0)+1)=0," ",INDEX(N3:AS37,ROW()-4,MATCH(A3,N3:AS3,0)+1))</f>
        <v xml:space="preserve"> </v>
      </c>
      <c r="AW28" s="149" t="e" cm="1">
        <f t="array" aca="1" ref="AW28" ca="1">IF(MONTH(OFFSET(_xlfn.XLOOKUP(MONTH(AW4),MONTH(DATEVALUE(W5:W34)),W5:W34,NA(),0,1),3,0))=MONTH(AW4),OFFSET(_xlfn.XLOOKUP(MONTH(AW4),MONTH(DATEVALUE(W5:W34)),W5:W34,NA(),0,1),3,0),NA())</f>
        <v>#N/A</v>
      </c>
      <c r="AX28" s="146" t="e" cm="1">
        <f t="array" aca="1" ref="AX28" ca="1">IF(MONTH(AW28)=MONTH(AW4),OFFSET(_xlfn.XLOOKUP(MONTH(AW4),MONTH(DATEVALUE(W5:W34)),V5:V34,NA(),0,1),3,0),NA())</f>
        <v>#N/A</v>
      </c>
      <c r="AY28" s="151" t="e">
        <f ca="1">IF(AX28="#N/A",NA(),V3)</f>
        <v>#N/A</v>
      </c>
    </row>
    <row r="29" spans="1:51" ht="15.75" customHeight="1" thickBot="1" x14ac:dyDescent="0.3">
      <c r="A29" s="129" t="s">
        <v>676</v>
      </c>
      <c r="C29" s="208" t="str" cm="1">
        <f t="array" ref="C29">_xlfn.IFS(A2=1,"AMERICAN STOCK EXCHANGE",A2=2,"AUSTRALIAN SECURITIES EXCHANGE (AUSTRALIA STOCK EXCHANGE)",A2=3,"BURSA MALAYSIA BERHAD",A2=4,"HONG KONG STOCK EXCHANGE",A2=5,"INDONESIA STOCK EXCHANGE",A2=6,"LONDON STOCK EXCHANGE",A2=7,"NATIONAL ASSOCIATION OF SECURITIES DEALERS AUTOMATED QUOTATIONS",A2=8,"NEW YORK STOCK EXCHANGE",A2=9,"PHILIPPINE STOCK EXCHANGE",A2=10,"STOCK EXCHANGE OF THAILAND",A2=11,"SINGAPORE STOCK EXCHANGE",A2=12,"SINGAPORE STOCK EXCHANGE ODD LOT",A2=13,"SHANGHAI STOCK EXCHANGE (A)",A2=14,"SHANGHAI STOCK EXCHANGE (B)",A2=15,"SHENZHEN STOCK EXCHANGE (B)",A2=16,"TOKYO STOCK EXCHANGE")</f>
        <v>SINGAPORE STOCK EXCHANGE</v>
      </c>
      <c r="D29" s="209"/>
      <c r="E29" s="141" t="str" cm="1">
        <f t="array" aca="1" ref="E29" ca="1">_xlfn._xlws.FILTER(AU5:AU20,NOT(ISNA(AV5:AV20))," ")</f>
        <v xml:space="preserve"> </v>
      </c>
      <c r="F29" s="129" t="str" cm="1">
        <f t="array" aca="1" ref="F29" ca="1">_xlfn._xlws.FILTER(AV5:AV20,NOT(ISNA(AV5:AV20))," ")</f>
        <v xml:space="preserve"> </v>
      </c>
      <c r="G29" s="139" t="str" cm="1">
        <f t="array" aca="1" ref="G29:G36" ca="1">_xlfn._xlws.FILTER(AY5:AY79,NOT(ISNA(AY5:AY79))," ")</f>
        <v>ASX</v>
      </c>
      <c r="H29" s="139" t="str" cm="1">
        <f t="array" aca="1" ref="H29:H36" ca="1">_xlfn._xlws.FILTER(AW5:AW79,NOT(ISNA(AX5:AX79))," ")</f>
        <v>14 June</v>
      </c>
      <c r="I29" s="129" t="str" cm="1">
        <f t="array" aca="1" ref="I29:I36" ca="1">_xlfn._xlws.FILTER(AX5:AX79,NOT(ISNA(AX5:AX79))," ")</f>
        <v>Queen's Birthday</v>
      </c>
      <c r="K29" s="62" t="str" cm="1">
        <f t="array" ref="K29">IF(INDEX(N3:AS37,ROW()-4,MATCH(A3,N3:AS3,0))=0," ",INDEX(N3:AS37,ROW()-4,MATCH(A3,N3:AS3,0)))</f>
        <v xml:space="preserve"> </v>
      </c>
      <c r="L29" s="62" t="str" cm="1">
        <f t="array" ref="L29">IF(INDEX(N3:AS37,ROW()-4,MATCH(A3,N3:AS3,0)+1)=0," ",INDEX(N3:AS37,ROW()-4,MATCH(A3,N3:AS3,0)+1))</f>
        <v xml:space="preserve"> </v>
      </c>
      <c r="AW29" s="150" t="e" cm="1">
        <f t="array" aca="1" ref="AW29" ca="1">IF(MONTH(OFFSET(_xlfn.XLOOKUP(MONTH(AW4),MONTH(DATEVALUE(W5:W34)),W5:W34,NA(),0,1),4,0))=MONTH(AW4),OFFSET(_xlfn.XLOOKUP(MONTH(AW4),MONTH(DATEVALUE(W5:W34)),W5:W34,NA(),0,1),4,0),NA())</f>
        <v>#N/A</v>
      </c>
      <c r="AX29" s="147" t="e" cm="1">
        <f t="array" aca="1" ref="AX29" ca="1">IF(MONTH(AW29)=MONTH(AW4),OFFSET(_xlfn.XLOOKUP(MONTH(AW4),MONTH(DATEVALUE(W5:W34)),V5:V34,NA(),0,1),4,0),NA())</f>
        <v>#N/A</v>
      </c>
      <c r="AY29" s="152" t="e">
        <f ca="1">IF(AX29="#N/A",NA(),V3)</f>
        <v>#N/A</v>
      </c>
    </row>
    <row r="30" spans="1:51" ht="15" customHeight="1" thickBot="1" x14ac:dyDescent="0.3">
      <c r="A30" s="129" t="s">
        <v>677</v>
      </c>
      <c r="C30" s="210"/>
      <c r="D30" s="211"/>
      <c r="G30" s="139" t="str">
        <f ca="1"/>
        <v>KLS(E) / BURSA</v>
      </c>
      <c r="H30" s="139" t="str">
        <f ca="1"/>
        <v>20 June</v>
      </c>
      <c r="I30" s="62" t="str">
        <f ca="1"/>
        <v>Yang Dipertuan Agong's Birthday</v>
      </c>
      <c r="K30" s="62" t="str" cm="1">
        <f t="array" ref="K30">IF(INDEX(N3:AS37,ROW()-4,MATCH(A3,N3:AS3,0))=0," ",INDEX(N3:AS37,ROW()-4,MATCH(A3,N3:AS3,0)))</f>
        <v xml:space="preserve"> </v>
      </c>
      <c r="L30" s="62" t="str" cm="1">
        <f t="array" ref="L30">IF(INDEX(N3:AS37,ROW()-4,MATCH(A3,N3:AS3,0)+1)=0," ",INDEX(N3:AS37,ROW()-4,MATCH(A3,N3:AS3,0)+1))</f>
        <v xml:space="preserve"> </v>
      </c>
      <c r="AW30" s="148" t="e" cm="1">
        <f t="array" ref="AW30">_xlfn.XLOOKUP(MONTH(AW4),MONTH(DATEVALUE(Y5:Y34)),Y5:Y34,NA(),0,1)</f>
        <v>#N/A</v>
      </c>
      <c r="AX30" s="145" t="e" cm="1">
        <f t="array" ref="AX30">_xlfn.XLOOKUP(MONTH(AW4),MONTH(DATEVALUE(Y5:Y34)),X5:X34,NA(),0,1)</f>
        <v>#N/A</v>
      </c>
      <c r="AY30" s="131" t="e">
        <f>IF(AX30="#N/A",NA(),X3)</f>
        <v>#N/A</v>
      </c>
    </row>
    <row r="31" spans="1:51" x14ac:dyDescent="0.25">
      <c r="A31" s="129" t="s">
        <v>678</v>
      </c>
      <c r="C31" s="202" t="str">
        <f ca="1">INDEX(Markets!B2:C17,MATCH(Calendar!C29,Markets!B2:B17,0),2)</f>
        <v>CLOSED</v>
      </c>
      <c r="D31" s="203"/>
      <c r="G31" s="139" t="str">
        <f ca="1"/>
        <v>HKG / HKEX</v>
      </c>
      <c r="H31" s="139" t="str">
        <f ca="1"/>
        <v>14 June</v>
      </c>
      <c r="I31" s="62" t="str">
        <f ca="1"/>
        <v>Dragon Boat Festival</v>
      </c>
      <c r="K31" s="62" t="str" cm="1">
        <f t="array" ref="K31">IF(INDEX(N3:AS37,ROW()-4,MATCH(A3,N3:AS3,0))=0," ",INDEX(N3:AS37,ROW()-4,MATCH(A3,N3:AS3,0)))</f>
        <v xml:space="preserve"> </v>
      </c>
      <c r="L31" s="62" t="str" cm="1">
        <f t="array" ref="L31">IF(INDEX(N3:AS37,ROW()-4,MATCH(A3,N3:AS3,0)+1)=0," ",INDEX(N3:AS37,ROW()-4,MATCH(A3,N3:AS3,0)+1))</f>
        <v xml:space="preserve"> </v>
      </c>
      <c r="AW31" s="149" t="e" cm="1">
        <f t="array" aca="1" ref="AW31" ca="1">IF(MONTH(OFFSET(_xlfn.XLOOKUP(MONTH(AW4),MONTH(DATEVALUE(Y5:Y34)),Y5:Y34,NA(),0,1),1,0))=MONTH(AW4),OFFSET(_xlfn.XLOOKUP(MONTH(AW4),MONTH(DATEVALUE(Y5:Y34)),Y5:Y34,NA(),0,1),1,0),NA())</f>
        <v>#N/A</v>
      </c>
      <c r="AX31" s="146" t="e" cm="1">
        <f t="array" aca="1" ref="AX31" ca="1">IF(MONTH(AW31)=MONTH(AW4),OFFSET(_xlfn.XLOOKUP(MONTH(AW4),MONTH(DATEVALUE(Y5:Y34)),X5:X34,NA(),0,1),1,0),NA())</f>
        <v>#N/A</v>
      </c>
      <c r="AY31" s="151" t="e">
        <f ca="1">IF(AX31="#N/A",NA(),X3)</f>
        <v>#N/A</v>
      </c>
    </row>
    <row r="32" spans="1:51" ht="15.75" thickBot="1" x14ac:dyDescent="0.3">
      <c r="A32" s="129" t="s">
        <v>679</v>
      </c>
      <c r="C32" s="204"/>
      <c r="D32" s="205"/>
      <c r="G32" s="139" t="str">
        <f ca="1"/>
        <v>JKT / IDX</v>
      </c>
      <c r="H32" s="139" t="str">
        <f ca="1"/>
        <v>01 June</v>
      </c>
      <c r="I32" s="62" t="str">
        <f ca="1"/>
        <v>Pancasila Day</v>
      </c>
      <c r="K32" s="62" t="str" cm="1">
        <f t="array" ref="K32">IF(INDEX(N3:AS37,ROW()-4,MATCH(A3,N3:AS3,0))=0," ",INDEX(N3:AS37,ROW()-4,MATCH(A3,N3:AS3,0)))</f>
        <v xml:space="preserve"> </v>
      </c>
      <c r="L32" s="62" t="str" cm="1">
        <f t="array" ref="L32">IF(INDEX(N3:AS37,ROW()-4,MATCH(A3,N3:AS3,0)+1)=0," ",INDEX(N3:AS37,ROW()-4,MATCH(A3,N3:AS3,0)+1))</f>
        <v xml:space="preserve"> </v>
      </c>
      <c r="AW32" s="149" t="e" cm="1">
        <f t="array" aca="1" ref="AW32" ca="1">IF(MONTH(OFFSET(_xlfn.XLOOKUP(MONTH(AW4),MONTH(DATEVALUE(Y5:Y34)),Y5:Y34,NA(),0,1),2,0))=MONTH(AW4),OFFSET(_xlfn.XLOOKUP(MONTH(AW4),MONTH(DATEVALUE(Y5:Y34)),Y5:Y34,NA(),0,1),2,0),NA())</f>
        <v>#N/A</v>
      </c>
      <c r="AX32" s="146" t="e" cm="1">
        <f t="array" aca="1" ref="AX32" ca="1">IF(MONTH(AW32)=MONTH(AW4),OFFSET(_xlfn.XLOOKUP(MONTH(AW4),MONTH(DATEVALUE(Y5:Y34)),X5:X34,NA(),0,1),2,0),NA())</f>
        <v>#N/A</v>
      </c>
      <c r="AY32" s="151" t="e">
        <f ca="1">IF(AX32="#N/A",NA(),X3)</f>
        <v>#N/A</v>
      </c>
    </row>
    <row r="33" spans="1:51" x14ac:dyDescent="0.25">
      <c r="A33" s="129" t="s">
        <v>680</v>
      </c>
      <c r="C33" s="135" t="str">
        <f ca="1">IF(C31="OPEN","TIME LEFT TO CLOSE: ","TIME LEFT TO OPEN: ")</f>
        <v xml:space="preserve">TIME LEFT TO OPEN: </v>
      </c>
      <c r="G33" s="139" t="str">
        <f ca="1"/>
        <v>PSE / PHS</v>
      </c>
      <c r="H33" s="139" t="str">
        <f ca="1"/>
        <v>12 June</v>
      </c>
      <c r="I33" s="62" t="str">
        <f ca="1"/>
        <v>Independence Day</v>
      </c>
      <c r="K33" s="62" t="str" cm="1">
        <f t="array" ref="K33">IF(INDEX(N3:AS37,ROW()-4,MATCH(A3,N3:AS3,0))=0," ",INDEX(N3:AS37,ROW()-4,MATCH(A3,N3:AS3,0)))</f>
        <v xml:space="preserve"> </v>
      </c>
      <c r="L33" s="62" t="str" cm="1">
        <f t="array" ref="L33">IF(INDEX(N3:AS37,ROW()-4,MATCH(A3,N3:AS3,0)+1)=0," ",INDEX(N3:AS37,ROW()-4,MATCH(A3,N3:AS3,0)+1))</f>
        <v xml:space="preserve"> </v>
      </c>
      <c r="AW33" s="149" t="e" cm="1">
        <f t="array" aca="1" ref="AW33" ca="1">IF(MONTH(OFFSET(_xlfn.XLOOKUP(MONTH(AW4),MONTH(DATEVALUE(Y5:Y34)),Y5:Y34,NA(),0,1),3,0))=MONTH(AW4),OFFSET(_xlfn.XLOOKUP(MONTH(AW4),MONTH(DATEVALUE(Y5:Y34)),Y5:Y34,NA(),0,1),3,0),NA())</f>
        <v>#N/A</v>
      </c>
      <c r="AX33" s="146" t="e" cm="1">
        <f t="array" aca="1" ref="AX33" ca="1">IF(MONTH(AW33)=MONTH(AW4),OFFSET(_xlfn.XLOOKUP(MONTH(AW4),MONTH(DATEVALUE(Y5:Y34)),X5:X34,NA(),0,1),3,0),NA())</f>
        <v>#N/A</v>
      </c>
      <c r="AY33" s="151" t="e">
        <f ca="1">IF(AX33="#N/A",NA(),X3)</f>
        <v>#N/A</v>
      </c>
    </row>
    <row r="34" spans="1:51" ht="15.75" thickBot="1" x14ac:dyDescent="0.3">
      <c r="A34" s="129" t="s">
        <v>681</v>
      </c>
      <c r="G34" s="139" t="str">
        <f ca="1"/>
        <v>SSE A</v>
      </c>
      <c r="H34" s="139" t="str">
        <f ca="1"/>
        <v>14 June</v>
      </c>
      <c r="I34" s="62" t="str">
        <f ca="1"/>
        <v>Dragon Boat Festival</v>
      </c>
      <c r="K34" s="62" t="str" cm="1">
        <f t="array" ref="K34">IF(INDEX(N3:AS37,ROW()-4,MATCH(A3,N3:AS3,0))=0," ",INDEX(N3:AS37,ROW()-4,MATCH(A3,N3:AS3,0)))</f>
        <v xml:space="preserve"> </v>
      </c>
      <c r="L34" s="62" t="str" cm="1">
        <f t="array" ref="L34">IF(INDEX(N3:AS37,ROW()-4,MATCH(A3,N3:AS3,0)+1)=0," ",INDEX(N3:AS37,ROW()-4,MATCH(A3,N3:AS3,0)+1))</f>
        <v xml:space="preserve"> </v>
      </c>
      <c r="AW34" s="150" t="e" cm="1">
        <f t="array" aca="1" ref="AW34" ca="1">IF(MONTH(OFFSET(_xlfn.XLOOKUP(MONTH(AW4),MONTH(DATEVALUE(Y5:Y34)),Y5:Y34,NA(),0,1),4,0))=MONTH(AW4),OFFSET(_xlfn.XLOOKUP(MONTH(AW4),MONTH(DATEVALUE(Y5:Y34)),Y5:Y34,NA(),0,1),4,0),NA())</f>
        <v>#N/A</v>
      </c>
      <c r="AX34" s="147" t="e" cm="1">
        <f t="array" aca="1" ref="AX34" ca="1">IF(MONTH(AW34)=MONTH(AW4),OFFSET(_xlfn.XLOOKUP(MONTH(AW4),MONTH(DATEVALUE(Y5:Y34)),X5:X34,NA(),0,1),4,0),NA())</f>
        <v>#N/A</v>
      </c>
      <c r="AY34" s="152" t="e">
        <f ca="1">IF(AX34="#N/A",NA(),X3)</f>
        <v>#N/A</v>
      </c>
    </row>
    <row r="35" spans="1:51" ht="15" customHeight="1" x14ac:dyDescent="0.25">
      <c r="G35" s="139" t="str">
        <f ca="1"/>
        <v>SSE / SSE B</v>
      </c>
      <c r="H35" s="139" t="str">
        <f ca="1"/>
        <v>14 June</v>
      </c>
      <c r="I35" s="62" t="str">
        <f ca="1"/>
        <v>Dragon Boat Festival</v>
      </c>
      <c r="K35" s="62" t="str" cm="1">
        <f t="array" ref="K35">IF(INDEX(N3:AS37,ROW()-4,MATCH(A3,N3:AS3,0))=0," ",INDEX(N3:AS37,ROW()-4,MATCH(A3,N3:AS3,0)))</f>
        <v xml:space="preserve"> </v>
      </c>
      <c r="L35" s="62" t="str" cm="1">
        <f t="array" ref="L35">IF(INDEX(N3:AS37,ROW()-4,MATCH(A3,N3:AS3,0)+1)=0," ",INDEX(N3:AS37,ROW()-4,MATCH(A3,N3:AS3,0)+1))</f>
        <v xml:space="preserve"> </v>
      </c>
      <c r="AW35" s="148" t="e" cm="1">
        <f t="array" ref="AW35">_xlfn.XLOOKUP(MONTH(AW4),MONTH(DATEVALUE(AA5:AA34)),AA5:AA34,NA(),0,1)</f>
        <v>#N/A</v>
      </c>
      <c r="AX35" s="145" t="e" cm="1">
        <f t="array" ref="AX35">_xlfn.XLOOKUP(MONTH(AW4),MONTH(DATEVALUE(AA5:AA34)),Z5:Z34,NA(),0,1)</f>
        <v>#N/A</v>
      </c>
      <c r="AY35" s="131" t="e">
        <f>IF(AX35="#N/A",NA(),Z3)</f>
        <v>#N/A</v>
      </c>
    </row>
    <row r="36" spans="1:51" x14ac:dyDescent="0.25">
      <c r="A36" s="129">
        <v>2</v>
      </c>
      <c r="G36" s="139" t="str">
        <f ca="1"/>
        <v>SZSE / SZSE B</v>
      </c>
      <c r="H36" s="139" t="str">
        <f ca="1"/>
        <v>14 June</v>
      </c>
      <c r="I36" s="62" t="str">
        <f ca="1"/>
        <v>Dragon Boat Festival</v>
      </c>
      <c r="K36" s="62" t="str" cm="1">
        <f t="array" ref="K36">IF(INDEX(N3:AS37,ROW()-4,MATCH(A3,N3:AS3,0))=0," ",INDEX(N3:AS37,ROW()-4,MATCH(A3,N3:AS3,0)))</f>
        <v xml:space="preserve"> </v>
      </c>
      <c r="L36" s="62" t="str" cm="1">
        <f t="array" ref="L36">IF(INDEX(N3:AS37,ROW()-4,MATCH(A3,N3:AS3,0)+1)=0," ",INDEX(N3:AS37,ROW()-4,MATCH(A3,N3:AS3,0)+1))</f>
        <v xml:space="preserve"> </v>
      </c>
      <c r="AW36" s="149" t="e" cm="1">
        <f t="array" aca="1" ref="AW36" ca="1">IF(MONTH(OFFSET(_xlfn.XLOOKUP(MONTH(AW4),MONTH(DATEVALUE(AA5:AA34)),AA5:AA34,NA(),0,1),1,0))=MONTH(AW4),OFFSET(_xlfn.XLOOKUP(MONTH(AW4),MONTH(DATEVALUE(AA5:AA34)),AA5:AA34,NA(),0,1),1,0),NA())</f>
        <v>#N/A</v>
      </c>
      <c r="AX36" s="146" t="e" cm="1">
        <f t="array" aca="1" ref="AX36" ca="1">IF(MONTH(AW36)=MONTH(AW4),OFFSET(_xlfn.XLOOKUP(MONTH(AW4),MONTH(DATEVALUE(AA5:AA34)),Z5:Z34,NA(),0,1),1,0),NA())</f>
        <v>#N/A</v>
      </c>
      <c r="AY36" s="151" t="e">
        <f ca="1">IF(AX36="#N/A",NA(),Z3)</f>
        <v>#N/A</v>
      </c>
    </row>
    <row r="37" spans="1:51" x14ac:dyDescent="0.25">
      <c r="A37" s="129">
        <v>2020</v>
      </c>
      <c r="AW37" s="149" t="e" cm="1">
        <f t="array" aca="1" ref="AW37" ca="1">IF(MONTH(OFFSET(_xlfn.XLOOKUP(MONTH(AW4),MONTH(DATEVALUE(AA5:AA34)),AA5:AA34,NA(),0,1),2,0))=MONTH(AW4),OFFSET(_xlfn.XLOOKUP(MONTH(AW4),MONTH(DATEVALUE(AA5:AA34)),AA5:AA34,NA(),0,1),2,0),NA())</f>
        <v>#N/A</v>
      </c>
      <c r="AX37" s="146" t="e" cm="1">
        <f t="array" aca="1" ref="AX37" ca="1">IF(MONTH(AW37)=MONTH(AW4),OFFSET(_xlfn.XLOOKUP(MONTH(AW4),MONTH(DATEVALUE(AA5:AA34)),Z5:Z34,NA(),0,1),2,0),NA())</f>
        <v>#N/A</v>
      </c>
      <c r="AY37" s="151" t="e">
        <f ca="1">IF(AX37="#N/A",NA(),Z3)</f>
        <v>#N/A</v>
      </c>
    </row>
    <row r="38" spans="1:51" x14ac:dyDescent="0.25">
      <c r="A38" s="129">
        <v>2021</v>
      </c>
      <c r="AW38" s="149" t="e" cm="1">
        <f t="array" aca="1" ref="AW38" ca="1">IF(MONTH(OFFSET(_xlfn.XLOOKUP(MONTH(AW4),MONTH(DATEVALUE(AA5:AA34)),AA5:AA34,NA(),0,1),3,0))=MONTH(AW4),OFFSET(_xlfn.XLOOKUP(MONTH(AW4),MONTH(DATEVALUE(AA5:AA34)),AA5:AA34,NA(),0,1),3,0),NA())</f>
        <v>#N/A</v>
      </c>
      <c r="AX38" s="146" t="e" cm="1">
        <f t="array" aca="1" ref="AX38" ca="1">IF(MONTH(AW38)=MONTH(AW4),OFFSET(_xlfn.XLOOKUP(MONTH(AW4),MONTH(DATEVALUE(AA5:AA34)),Z5:Z34,NA(),0,1),3,0),NA())</f>
        <v>#N/A</v>
      </c>
      <c r="AY38" s="151" t="e">
        <f ca="1">IF(AX38="#N/A",NA(),Z3)</f>
        <v>#N/A</v>
      </c>
    </row>
    <row r="39" spans="1:51" ht="15.75" thickBot="1" x14ac:dyDescent="0.3">
      <c r="A39" s="129">
        <v>2022</v>
      </c>
      <c r="AW39" s="150" t="e" cm="1">
        <f t="array" aca="1" ref="AW39" ca="1">IF(MONTH(OFFSET(_xlfn.XLOOKUP(MONTH(AW4),MONTH(DATEVALUE(AA5:AA34)),AA5:AA34,NA(),0,1),4,0))=MONTH(AW4),OFFSET(_xlfn.XLOOKUP(MONTH(AW4),MONTH(DATEVALUE(AA5:AA34)),AA5:AA34,NA(),0,1),4,0),NA())</f>
        <v>#N/A</v>
      </c>
      <c r="AX39" s="147" t="e" cm="1">
        <f t="array" aca="1" ref="AX39" ca="1">IF(MONTH(AW39)=MONTH(AW4),OFFSET(_xlfn.XLOOKUP(MONTH(AW4),MONTH(DATEVALUE(AA5:AA34)),Z5:Z34,NA(),0,1),4,0),NA())</f>
        <v>#N/A</v>
      </c>
      <c r="AY39" s="152" t="e">
        <f ca="1">IF(AX39="#N/A",NA(),Z3)</f>
        <v>#N/A</v>
      </c>
    </row>
    <row r="40" spans="1:51" ht="15" customHeight="1" x14ac:dyDescent="0.25">
      <c r="A40" s="129">
        <v>2023</v>
      </c>
      <c r="AW40" s="148" t="e" cm="1">
        <f t="array" ref="AW40">_xlfn.XLOOKUP(MONTH(AW4),MONTH(DATEVALUE(AC5:AC34)),AC5:AC34,NA(),0,1)</f>
        <v>#N/A</v>
      </c>
      <c r="AX40" s="145" t="e" cm="1">
        <f t="array" ref="AX40">_xlfn.XLOOKUP(MONTH(AW4),MONTH(DATEVALUE(AC5:AC34)),AB5:AB34,NA(),0,1)</f>
        <v>#N/A</v>
      </c>
      <c r="AY40" s="131" t="e">
        <f>IF(AX40="#N/A",NA(),AB3)</f>
        <v>#N/A</v>
      </c>
    </row>
    <row r="41" spans="1:51" x14ac:dyDescent="0.25">
      <c r="AW41" s="149" t="e" cm="1">
        <f t="array" aca="1" ref="AW41" ca="1">IF(MONTH(OFFSET(_xlfn.XLOOKUP(MONTH(AW4),MONTH(DATEVALUE(AC5:AC34)),AC5:AC34,NA(),0,1),1,0))=MONTH(AW4),OFFSET(_xlfn.XLOOKUP(MONTH(AW4),MONTH(DATEVALUE(AC5:AC34)),AC5:AC34,NA(),0,1),1,0),NA())</f>
        <v>#N/A</v>
      </c>
      <c r="AX41" s="146" t="e" cm="1">
        <f t="array" aca="1" ref="AX41" ca="1">IF(MONTH(AW41)=MONTH(AW4),OFFSET(_xlfn.XLOOKUP(MONTH(AW4),MONTH(DATEVALUE(AC5:AC34)),AB5:AB34,NA(),0,1),1,0),NA())</f>
        <v>#N/A</v>
      </c>
      <c r="AY41" s="151" t="e">
        <f ca="1">IF(AX41="#N/A",NA(),AB3)</f>
        <v>#N/A</v>
      </c>
    </row>
    <row r="42" spans="1:51" x14ac:dyDescent="0.25">
      <c r="AW42" s="149" t="e" cm="1">
        <f t="array" aca="1" ref="AW42" ca="1">IF(MONTH(OFFSET(_xlfn.XLOOKUP(MONTH(AW4),MONTH(DATEVALUE(AC5:AC34)),AC5:AC34,NA(),0,1),2,0))=MONTH(AW4),OFFSET(_xlfn.XLOOKUP(MONTH(AW4),MONTH(DATEVALUE(AC5:AC34)),AC5:AC34,NA(),0,1),2,0),NA())</f>
        <v>#N/A</v>
      </c>
      <c r="AX42" s="146" t="e" cm="1">
        <f t="array" aca="1" ref="AX42" ca="1">IF(MONTH(AW42)=MONTH(AW4),OFFSET(_xlfn.XLOOKUP(MONTH(AW4),MONTH(DATEVALUE(AC5:AC34)),AB5:AB34,NA(),0,1),2,0),NA())</f>
        <v>#N/A</v>
      </c>
      <c r="AY42" s="151" t="e">
        <f ca="1">IF(AX42="#N/A",NA(),AB3)</f>
        <v>#N/A</v>
      </c>
    </row>
    <row r="43" spans="1:51" x14ac:dyDescent="0.25">
      <c r="AW43" s="149" t="e" cm="1">
        <f t="array" aca="1" ref="AW43" ca="1">IF(MONTH(OFFSET(_xlfn.XLOOKUP(MONTH(AW4),MONTH(DATEVALUE(AC5:AC34)),AC5:AC34,NA(),0,1),3,0))=MONTH(AW4),OFFSET(_xlfn.XLOOKUP(MONTH(AW4),MONTH(DATEVALUE(AC5:AC34)),AC5:AC34,NA(),0,1),3,0),NA())</f>
        <v>#N/A</v>
      </c>
      <c r="AX43" s="146" t="e" cm="1">
        <f t="array" aca="1" ref="AX43" ca="1">IF(MONTH(AW43)=MONTH(AW4),OFFSET(_xlfn.XLOOKUP(MONTH(AW4),MONTH(DATEVALUE(AC5:AC34)),AB5:AB34,NA(),0,1),3,0),NA())</f>
        <v>#N/A</v>
      </c>
      <c r="AY43" s="151" t="e">
        <f ca="1">IF(AX43="#N/A",NA(),AB3)</f>
        <v>#N/A</v>
      </c>
    </row>
    <row r="44" spans="1:51" ht="15.75" thickBot="1" x14ac:dyDescent="0.3">
      <c r="AW44" s="150" t="e" cm="1">
        <f t="array" aca="1" ref="AW44" ca="1">IF(MONTH(OFFSET(_xlfn.XLOOKUP(MONTH(AW4),MONTH(DATEVALUE(AC5:AC34)),AC5:AC34,NA(),0,1),4,0))=MONTH(AW4),OFFSET(_xlfn.XLOOKUP(MONTH(AW4),MONTH(DATEVALUE(AC5:AC34)),AC5:AC34,NA(),0,1),4,0),NA())</f>
        <v>#N/A</v>
      </c>
      <c r="AX44" s="147" t="e" cm="1">
        <f t="array" aca="1" ref="AX44" ca="1">IF(MONTH(AW44)=MONTH(AW4),OFFSET(_xlfn.XLOOKUP(MONTH(AW4),MONTH(DATEVALUE(AC5:AC34)),AB5:AB34,NA(),0,1),4,0),NA())</f>
        <v>#N/A</v>
      </c>
      <c r="AY44" s="152" t="e">
        <f ca="1">IF(AX44="#N/A",NA(),AB3)</f>
        <v>#N/A</v>
      </c>
    </row>
    <row r="45" spans="1:51" ht="15" customHeight="1" x14ac:dyDescent="0.25">
      <c r="AW45" s="148" t="str" cm="1">
        <f t="array" ref="AW45">_xlfn.XLOOKUP(MONTH(AW4),MONTH(DATEVALUE(AE5:AE34)),AE5:AE34,NA(),0,1)</f>
        <v>12 June</v>
      </c>
      <c r="AX45" s="145" t="str" cm="1">
        <f t="array" ref="AX45">_xlfn.XLOOKUP(MONTH(AW4),MONTH(DATEVALUE(AE5:AE34)),AD5:AD34,NA(),0,1)</f>
        <v>Independence Day</v>
      </c>
      <c r="AY45" s="131" t="str">
        <f>IF(AX45="#N/A",NA(),AD3)</f>
        <v>PSE / PHS</v>
      </c>
    </row>
    <row r="46" spans="1:51" x14ac:dyDescent="0.25">
      <c r="AW46" s="149" t="e" cm="1">
        <f t="array" aca="1" ref="AW46" ca="1">IF(MONTH(OFFSET(_xlfn.XLOOKUP(MONTH(AW4),MONTH(DATEVALUE(AE5:AE34)),AE5:AE34,NA(),0,1),1,0))=MONTH(AW4),OFFSET(_xlfn.XLOOKUP(MONTH(AW4),MONTH(DATEVALUE(AE5:AE34)),AE5:AE34,NA(),0,1),1,0),NA())</f>
        <v>#N/A</v>
      </c>
      <c r="AX46" s="146" t="e" cm="1">
        <f t="array" aca="1" ref="AX46" ca="1">IF(MONTH(AW46)=MONTH(AW4),OFFSET(_xlfn.XLOOKUP(MONTH(AW4),MONTH(DATEVALUE(AE5:AE34)),AD5:AD34,NA(),0,1),1,0),NA())</f>
        <v>#N/A</v>
      </c>
      <c r="AY46" s="151" t="e">
        <f ca="1">IF(AX46="#N/A",NA(),AD3)</f>
        <v>#N/A</v>
      </c>
    </row>
    <row r="47" spans="1:51" x14ac:dyDescent="0.25">
      <c r="AW47" s="149" t="e" cm="1">
        <f t="array" aca="1" ref="AW47" ca="1">IF(MONTH(OFFSET(_xlfn.XLOOKUP(MONTH(AW4),MONTH(DATEVALUE(AE5:AE34)),AE5:AE34,NA(),0,1),2,0))=MONTH(AW4),OFFSET(_xlfn.XLOOKUP(MONTH(AW4),MONTH(DATEVALUE(AE5:AE34)),AE5:AE34,NA(),0,1),2,0),NA())</f>
        <v>#N/A</v>
      </c>
      <c r="AX47" s="146" t="e" cm="1">
        <f t="array" aca="1" ref="AX47" ca="1">IF(MONTH(AW47)=MONTH(AW4),OFFSET(_xlfn.XLOOKUP(MONTH(AW4),MONTH(DATEVALUE(AE5:AE34)),AD5:AD34,NA(),0,1),2,0),NA())</f>
        <v>#N/A</v>
      </c>
      <c r="AY47" s="151" t="e">
        <f ca="1">IF(AX47="#N/A",NA(),AD3)</f>
        <v>#N/A</v>
      </c>
    </row>
    <row r="48" spans="1:51" x14ac:dyDescent="0.25">
      <c r="AW48" s="149" t="e" cm="1">
        <f t="array" aca="1" ref="AW48" ca="1">IF(MONTH(OFFSET(_xlfn.XLOOKUP(MONTH(AW4),MONTH(DATEVALUE(AE5:AE34)),AE5:AE34,NA(),0,1),3,0))=MONTH(AW4),OFFSET(_xlfn.XLOOKUP(MONTH(AW4),MONTH(DATEVALUE(AE5:AE34)),AE5:AE34,NA(),0,1),3,0),NA())</f>
        <v>#N/A</v>
      </c>
      <c r="AX48" s="146" t="e" cm="1">
        <f t="array" aca="1" ref="AX48" ca="1">IF(MONTH(AW48)=MONTH(AW4),OFFSET(_xlfn.XLOOKUP(MONTH(AW4),MONTH(DATEVALUE(AE5:AE34)),AD5:AD34,NA(),0,1),3,0),NA())</f>
        <v>#N/A</v>
      </c>
      <c r="AY48" s="151" t="e">
        <f ca="1">IF(AX48="#N/A",NA(),AD3)</f>
        <v>#N/A</v>
      </c>
    </row>
    <row r="49" spans="49:51" ht="15.75" thickBot="1" x14ac:dyDescent="0.3">
      <c r="AW49" s="150" t="e" cm="1">
        <f t="array" aca="1" ref="AW49" ca="1">IF(MONTH(OFFSET(_xlfn.XLOOKUP(MONTH(AW4),MONTH(DATEVALUE(AE5:AE34)),AE5:AE34,NA(),0,1),4,0))=MONTH(AW4),OFFSET(_xlfn.XLOOKUP(MONTH(AW4),MONTH(DATEVALUE(AE5:AE34)),AE5:AE34,NA(),0,1),4,0),NA())</f>
        <v>#N/A</v>
      </c>
      <c r="AX49" s="147" t="e" cm="1">
        <f t="array" aca="1" ref="AX49" ca="1">IF(MONTH(AW49)=MONTH(AW4),OFFSET(_xlfn.XLOOKUP(MONTH(AW4),MONTH(DATEVALUE(AE5:AE34)),AD5:AD34,NA(),0,1),4,0),NA())</f>
        <v>#N/A</v>
      </c>
      <c r="AY49" s="152" t="e">
        <f ca="1">IF(AX49="#N/A",NA(),AD3)</f>
        <v>#N/A</v>
      </c>
    </row>
    <row r="50" spans="49:51" ht="15" customHeight="1" x14ac:dyDescent="0.25">
      <c r="AW50" s="148" t="e" cm="1">
        <f t="array" ref="AW50">_xlfn.XLOOKUP(MONTH(AW4),MONTH(DATEVALUE(AG5:AG34)),AG5:AG34,NA(),0,1)</f>
        <v>#N/A</v>
      </c>
      <c r="AX50" s="145" t="e" cm="1">
        <f t="array" ref="AX50">_xlfn.XLOOKUP(MONTH(AW4),MONTH(DATEVALUE(AG5:AG34)),AF5:AF34,NA(),0,1)</f>
        <v>#N/A</v>
      </c>
      <c r="AY50" s="131" t="e">
        <f>IF(AX50="#N/A",NA(),AF3)</f>
        <v>#N/A</v>
      </c>
    </row>
    <row r="51" spans="49:51" x14ac:dyDescent="0.25">
      <c r="AW51" s="149" t="e" cm="1">
        <f t="array" aca="1" ref="AW51" ca="1">IF(MONTH(OFFSET(_xlfn.XLOOKUP(MONTH(AW4),MONTH(DATEVALUE(AG5:AG34)),AG5:AG34,NA(),0,1),1,0))=MONTH(AW4),OFFSET(_xlfn.XLOOKUP(MONTH(AW4),MONTH(DATEVALUE(AG5:AG34)),AG5:AG34,NA(),0,1),1,0),NA())</f>
        <v>#N/A</v>
      </c>
      <c r="AX51" s="146" t="e" cm="1">
        <f t="array" aca="1" ref="AX51" ca="1">IF(MONTH(AW51)=MONTH(AW4),OFFSET(_xlfn.XLOOKUP(MONTH(AW4),MONTH(DATEVALUE(AG5:AG34)),AF5:AF34,NA(),0,1),1,0),NA())</f>
        <v>#N/A</v>
      </c>
      <c r="AY51" s="151" t="e">
        <f ca="1">IF(AX51="#N/A",NA(),AF3)</f>
        <v>#N/A</v>
      </c>
    </row>
    <row r="52" spans="49:51" x14ac:dyDescent="0.25">
      <c r="AW52" s="149" t="e" cm="1">
        <f t="array" aca="1" ref="AW52" ca="1">IF(MONTH(OFFSET(_xlfn.XLOOKUP(MONTH(AW4),MONTH(DATEVALUE(AG5:AG34)),AG5:AG34,NA(),0,1),2,0))=MONTH(AW4),OFFSET(_xlfn.XLOOKUP(MONTH(AW4),MONTH(DATEVALUE(AG5:AG34)),AG5:AG34,NA(),0,1),2,0),NA())</f>
        <v>#N/A</v>
      </c>
      <c r="AX52" s="146" t="e" cm="1">
        <f t="array" aca="1" ref="AX52" ca="1">IF(MONTH(AW52)=MONTH(AW4),OFFSET(_xlfn.XLOOKUP(MONTH(AW4),MONTH(DATEVALUE(AG5:AG34)),AF5:AF34,NA(),0,1),2,0),NA())</f>
        <v>#N/A</v>
      </c>
      <c r="AY52" s="151" t="e">
        <f ca="1">IF(AX52="#N/A",NA(),AF3)</f>
        <v>#N/A</v>
      </c>
    </row>
    <row r="53" spans="49:51" x14ac:dyDescent="0.25">
      <c r="AW53" s="149" t="e" cm="1">
        <f t="array" aca="1" ref="AW53" ca="1">IF(MONTH(OFFSET(_xlfn.XLOOKUP(MONTH(AW4),MONTH(DATEVALUE(AG5:AG34)),AG5:AG34,NA(),0,1),3,0))=MONTH(AW4),OFFSET(_xlfn.XLOOKUP(MONTH(AW4),MONTH(DATEVALUE(AG5:AG34)),AG5:AG34,NA(),0,1),3,0),NA())</f>
        <v>#N/A</v>
      </c>
      <c r="AX53" s="146" t="e" cm="1">
        <f t="array" aca="1" ref="AX53" ca="1">IF(MONTH(AW53)=MONTH(AW4),OFFSET(_xlfn.XLOOKUP(MONTH(AW4),MONTH(DATEVALUE(AG5:AG34)),AF5:AF34,NA(),0,1),3,0),NA())</f>
        <v>#N/A</v>
      </c>
      <c r="AY53" s="151" t="e">
        <f ca="1">IF(AX53="#N/A",NA(),AF3)</f>
        <v>#N/A</v>
      </c>
    </row>
    <row r="54" spans="49:51" ht="15.75" thickBot="1" x14ac:dyDescent="0.3">
      <c r="AW54" s="150" t="e" cm="1">
        <f t="array" aca="1" ref="AW54" ca="1">IF(MONTH(OFFSET(_xlfn.XLOOKUP(MONTH(AW4),MONTH(DATEVALUE(AG5:AG34)),AG5:AG34,NA(),0,1),4,0))=MONTH(AW4),OFFSET(_xlfn.XLOOKUP(MONTH(AW4),MONTH(DATEVALUE(AG5:AG34)),AG5:AG34,NA(),0,1),4,0),NA())</f>
        <v>#N/A</v>
      </c>
      <c r="AX54" s="147" t="e" cm="1">
        <f t="array" aca="1" ref="AX54" ca="1">IF(MONTH(AW54)=MONTH(AW4),OFFSET(_xlfn.XLOOKUP(MONTH(AW4),MONTH(DATEVALUE(AG5:AG34)),AF5:AF34,NA(),0,1),4,0),NA())</f>
        <v>#N/A</v>
      </c>
      <c r="AY54" s="152" t="e">
        <f ca="1">IF(AX54="#N/A",NA(),AF3)</f>
        <v>#N/A</v>
      </c>
    </row>
    <row r="55" spans="49:51" ht="15" customHeight="1" x14ac:dyDescent="0.25">
      <c r="AW55" s="148" t="e" cm="1">
        <f t="array" ref="AW55">_xlfn.XLOOKUP(MONTH(AW4),MONTH(DATEVALUE(AI5:AI34)),AI5:AI34,NA(),0,1)</f>
        <v>#N/A</v>
      </c>
      <c r="AX55" s="145" t="e" cm="1">
        <f t="array" ref="AX55">_xlfn.XLOOKUP(MONTH(AW4),MONTH(DATEVALUE(AI5:AI34)),AH5:AH34,NA(),0,1)</f>
        <v>#N/A</v>
      </c>
      <c r="AY55" s="131" t="e">
        <f>IF(AX55="#N/A",NA(),AH3&amp;" / "&amp;AJ3)</f>
        <v>#N/A</v>
      </c>
    </row>
    <row r="56" spans="49:51" x14ac:dyDescent="0.25">
      <c r="AW56" s="149" t="e" cm="1">
        <f t="array" aca="1" ref="AW56" ca="1">IF(MONTH(OFFSET(_xlfn.XLOOKUP(MONTH(AW4),MONTH(DATEVALUE(AI5:AI34)),AI5:AI34,NA(),0,1),1,0))=MONTH(AW4),OFFSET(_xlfn.XLOOKUP(MONTH(AW4),MONTH(DATEVALUE(AI5:AI34)),AI5:AI34,NA(),0,1),1,0),NA())</f>
        <v>#N/A</v>
      </c>
      <c r="AX56" s="146" t="e" cm="1">
        <f t="array" aca="1" ref="AX56" ca="1">IF(MONTH(AW56)=MONTH(AW4),OFFSET(_xlfn.XLOOKUP(MONTH(AW4),MONTH(DATEVALUE(AI5:AI34)),AH5:AH34,NA(),0,1),1,0),NA())</f>
        <v>#N/A</v>
      </c>
      <c r="AY56" s="151" t="e">
        <f ca="1">IF(AX56="#N/A",NA(),AH3&amp;" / "&amp;AJ3)</f>
        <v>#N/A</v>
      </c>
    </row>
    <row r="57" spans="49:51" x14ac:dyDescent="0.25">
      <c r="AW57" s="149" t="e" cm="1">
        <f t="array" aca="1" ref="AW57" ca="1">IF(MONTH(OFFSET(_xlfn.XLOOKUP(MONTH(AW4),MONTH(DATEVALUE(AI5:AI34)),AI5:AI34,NA(),0,1),2,0))=MONTH(AW4),OFFSET(_xlfn.XLOOKUP(MONTH(AW4),MONTH(DATEVALUE(AI5:AI34)),AI5:AI34,NA(),0,1),2,0),NA())</f>
        <v>#N/A</v>
      </c>
      <c r="AX57" s="146" t="e" cm="1">
        <f t="array" aca="1" ref="AX57" ca="1">IF(MONTH(AW57)=MONTH(AW4),OFFSET(_xlfn.XLOOKUP(MONTH(AW4),MONTH(DATEVALUE(AI5:AI34)),AH5:AH34,NA(),0,1),2,0),NA())</f>
        <v>#N/A</v>
      </c>
      <c r="AY57" s="151" t="e">
        <f ca="1">IF(AX57="#N/A",NA(),AH3&amp;" / "&amp;AJ3)</f>
        <v>#N/A</v>
      </c>
    </row>
    <row r="58" spans="49:51" x14ac:dyDescent="0.25">
      <c r="AW58" s="149" t="e" cm="1">
        <f t="array" aca="1" ref="AW58" ca="1">IF(MONTH(OFFSET(_xlfn.XLOOKUP(MONTH(AW4),MONTH(DATEVALUE(AI5:AI34)),AI5:AI34,NA(),0,1),3,0))=MONTH(AW4),OFFSET(_xlfn.XLOOKUP(MONTH(AW4),MONTH(DATEVALUE(AI5:AI34)),AI5:AI34,NA(),0,1),3,0),NA())</f>
        <v>#N/A</v>
      </c>
      <c r="AX58" s="146" t="e" cm="1">
        <f t="array" aca="1" ref="AX58" ca="1">IF(MONTH(AW58)=MONTH(AW4),OFFSET(_xlfn.XLOOKUP(MONTH(AW4),MONTH(DATEVALUE(AI5:AI34)),AH5:AH34,NA(),0,1),3,0),NA())</f>
        <v>#N/A</v>
      </c>
      <c r="AY58" s="151" t="e">
        <f ca="1">IF(AX58="#N/A",NA(),AH3&amp;" / "&amp;AJ3)</f>
        <v>#N/A</v>
      </c>
    </row>
    <row r="59" spans="49:51" ht="15.75" thickBot="1" x14ac:dyDescent="0.3">
      <c r="AW59" s="150" t="e" cm="1">
        <f t="array" aca="1" ref="AW59" ca="1">IF(MONTH(OFFSET(_xlfn.XLOOKUP(MONTH(AW4),MONTH(DATEVALUE(AI5:AI34)),AI5:AI34,NA(),0,1),4,0))=MONTH(AW4),OFFSET(_xlfn.XLOOKUP(MONTH(AW4),MONTH(DATEVALUE(AI5:AI34)),AI5:AI34,NA(),0,1),4,0),NA())</f>
        <v>#N/A</v>
      </c>
      <c r="AX59" s="147" t="e" cm="1">
        <f t="array" aca="1" ref="AX59" ca="1">IF(MONTH(AW59)=MONTH(AW4),OFFSET(_xlfn.XLOOKUP(MONTH(AW4),MONTH(DATEVALUE(AI5:AI34)),AH5:AH34,NA(),0,1),4,0),NA())</f>
        <v>#N/A</v>
      </c>
      <c r="AY59" s="152" t="e">
        <f ca="1">IF(AX59="#N/A",NA(),AH3&amp;" / "&amp;AJ3)</f>
        <v>#N/A</v>
      </c>
    </row>
    <row r="60" spans="49:51" ht="15" customHeight="1" x14ac:dyDescent="0.25">
      <c r="AW60" s="148" t="str" cm="1">
        <f t="array" ref="AW60">_xlfn.XLOOKUP(MONTH(AW4),MONTH(DATEVALUE(AM5:AM34)),AM5:AM34,NA(),0,1)</f>
        <v>14 June</v>
      </c>
      <c r="AX60" s="145" t="str" cm="1">
        <f t="array" ref="AX60">_xlfn.XLOOKUP(MONTH(AW4),MONTH(DATEVALUE(AM5:AM34)),AL5:AL34,NA(),0,1)</f>
        <v>Dragon Boat Festival</v>
      </c>
      <c r="AY60" s="131" t="str">
        <f>IF(AX60="#N/A",NA(),AL3)</f>
        <v>SSE A</v>
      </c>
    </row>
    <row r="61" spans="49:51" x14ac:dyDescent="0.25">
      <c r="AW61" s="149" t="e" cm="1">
        <f t="array" aca="1" ref="AW61" ca="1">IF(MONTH(OFFSET(_xlfn.XLOOKUP(MONTH(AW4),MONTH(DATEVALUE(AM5:AM34)),AM5:AM34,NA(),0,1),1,0))=MONTH(AW4),OFFSET(_xlfn.XLOOKUP(MONTH(AW4),MONTH(DATEVALUE(AM5:AM34)),AM5:AM34,NA(),0,1),1,0),NA())</f>
        <v>#N/A</v>
      </c>
      <c r="AX61" s="146" t="e" cm="1">
        <f t="array" aca="1" ref="AX61" ca="1">IF(MONTH(AW61)=MONTH(AW4),OFFSET(_xlfn.XLOOKUP(MONTH(AW4),MONTH(DATEVALUE(AM5:AM34)),AL5:AL34,NA(),0,1),1,0),NA())</f>
        <v>#N/A</v>
      </c>
      <c r="AY61" s="151" t="e">
        <f ca="1">IF(AX61="#N/A",NA(),AL3)</f>
        <v>#N/A</v>
      </c>
    </row>
    <row r="62" spans="49:51" x14ac:dyDescent="0.25">
      <c r="AW62" s="149" t="e" cm="1">
        <f t="array" aca="1" ref="AW62" ca="1">IF(MONTH(OFFSET(_xlfn.XLOOKUP(MONTH(AW4),MONTH(DATEVALUE(AM5:AM34)),AM5:AM34,NA(),0,1),2,0))=MONTH(AW4),OFFSET(_xlfn.XLOOKUP(MONTH(AW4),MONTH(DATEVALUE(AM5:AM34)),AM5:AM34,NA(),0,1),2,0),NA())</f>
        <v>#N/A</v>
      </c>
      <c r="AX62" s="146" t="e" cm="1">
        <f t="array" aca="1" ref="AX62" ca="1">IF(MONTH(AW62)=MONTH(AW4),OFFSET(_xlfn.XLOOKUP(MONTH(AW4),MONTH(DATEVALUE(AM5:AM34)),AL5:AL34,NA(),0,1),2,0),NA())</f>
        <v>#N/A</v>
      </c>
      <c r="AY62" s="151" t="e">
        <f ca="1">IF(AX62="#N/A",NA(),AL3)</f>
        <v>#N/A</v>
      </c>
    </row>
    <row r="63" spans="49:51" x14ac:dyDescent="0.25">
      <c r="AW63" s="149" t="e" cm="1">
        <f t="array" aca="1" ref="AW63" ca="1">IF(MONTH(OFFSET(_xlfn.XLOOKUP(MONTH(AW4),MONTH(DATEVALUE(AM5:AM34)),AM5:AM34,NA(),0,1),3,0))=MONTH(AW4),OFFSET(_xlfn.XLOOKUP(MONTH(AW4),MONTH(DATEVALUE(AM5:AM34)),AM5:AM34,NA(),0,1),3,0),NA())</f>
        <v>#N/A</v>
      </c>
      <c r="AX63" s="146" t="e" cm="1">
        <f t="array" aca="1" ref="AX63" ca="1">IF(MONTH(AW63)=MONTH(AW4),OFFSET(_xlfn.XLOOKUP(MONTH(AW4),MONTH(DATEVALUE(AM5:AM34)),AL5:AL34,NA(),0,1),3,0),NA())</f>
        <v>#N/A</v>
      </c>
      <c r="AY63" s="151" t="e">
        <f ca="1">IF(AX63="#N/A",NA(),AL3)</f>
        <v>#N/A</v>
      </c>
    </row>
    <row r="64" spans="49:51" ht="15.75" thickBot="1" x14ac:dyDescent="0.3">
      <c r="AW64" s="150" t="e" cm="1">
        <f t="array" aca="1" ref="AW64" ca="1">IF(MONTH(OFFSET(_xlfn.XLOOKUP(MONTH(AW4),MONTH(DATEVALUE(AM5:AM34)),AM5:AM34,NA(),0,1),4,0))=MONTH(AW4),OFFSET(_xlfn.XLOOKUP(MONTH(AW4),MONTH(DATEVALUE(AM5:AM34)),AM5:AM34,NA(),0,1),4,0),NA())</f>
        <v>#N/A</v>
      </c>
      <c r="AX64" s="147" t="e" cm="1">
        <f t="array" aca="1" ref="AX64" ca="1">IF(MONTH(AW64)=MONTH(AW4),OFFSET(_xlfn.XLOOKUP(MONTH(AW4),MONTH(DATEVALUE(AM5:AM34)),AL5:AL34,NA(),0,1),4,0),NA())</f>
        <v>#N/A</v>
      </c>
      <c r="AY64" s="152" t="e">
        <f ca="1">IF(AX64="#N/A",NA(),AL3)</f>
        <v>#N/A</v>
      </c>
    </row>
    <row r="65" spans="49:51" ht="15" customHeight="1" x14ac:dyDescent="0.25">
      <c r="AW65" s="148" t="str" cm="1">
        <f t="array" ref="AW65">_xlfn.XLOOKUP(MONTH(AW4),MONTH(DATEVALUE(AO5:AO34)),AO5:AO34,NA(),0,1)</f>
        <v>14 June</v>
      </c>
      <c r="AX65" s="145" t="str" cm="1">
        <f t="array" ref="AX65">_xlfn.XLOOKUP(MONTH(AW4),MONTH(DATEVALUE(AO5:AO34)),AN5:AN34,NA(),0,1)</f>
        <v>Dragon Boat Festival</v>
      </c>
      <c r="AY65" s="131" t="str">
        <f>IF(AX65="#N/A",NA(),AN3)</f>
        <v>SSE / SSE B</v>
      </c>
    </row>
    <row r="66" spans="49:51" x14ac:dyDescent="0.25">
      <c r="AW66" s="149" t="e" cm="1">
        <f t="array" aca="1" ref="AW66" ca="1">IF(MONTH(OFFSET(_xlfn.XLOOKUP(MONTH(AW4),MONTH(DATEVALUE(AO5:AO34)),AO5:AO34,NA(),0,1),1,0))=MONTH(AW4),OFFSET(_xlfn.XLOOKUP(MONTH(AW4),MONTH(DATEVALUE(AO5:AO34)),AO5:AO34,NA(),0,1),1,0),NA())</f>
        <v>#N/A</v>
      </c>
      <c r="AX66" s="146" t="e" cm="1">
        <f t="array" aca="1" ref="AX66" ca="1">IF(MONTH(AW66)=MONTH(AW4),OFFSET(_xlfn.XLOOKUP(MONTH(AW4),MONTH(DATEVALUE(AO5:AO34)),AN5:AN34,NA(),0,1),1,0),NA())</f>
        <v>#N/A</v>
      </c>
      <c r="AY66" s="151" t="e">
        <f ca="1">IF(AX66="#N/A",NA(),AN3)</f>
        <v>#N/A</v>
      </c>
    </row>
    <row r="67" spans="49:51" x14ac:dyDescent="0.25">
      <c r="AW67" s="149" t="e" cm="1">
        <f t="array" aca="1" ref="AW67" ca="1">IF(MONTH(OFFSET(_xlfn.XLOOKUP(MONTH(AW4),MONTH(DATEVALUE(AO5:AO34)),AO5:AO34,NA(),0,1),2,0))=MONTH(AW4),OFFSET(_xlfn.XLOOKUP(MONTH(AW4),MONTH(DATEVALUE(AO5:AO34)),AO5:AO34,NA(),0,1),2,0),NA())</f>
        <v>#N/A</v>
      </c>
      <c r="AX67" s="146" t="e" cm="1">
        <f t="array" aca="1" ref="AX67" ca="1">IF(MONTH(AW67)=MONTH(AW4),OFFSET(_xlfn.XLOOKUP(MONTH(AW4),MONTH(DATEVALUE(AO5:AO34)),AN5:AN34,NA(),0,1),2,0),NA())</f>
        <v>#N/A</v>
      </c>
      <c r="AY67" s="151" t="e">
        <f ca="1">IF(AX67="#N/A",NA(),AN3)</f>
        <v>#N/A</v>
      </c>
    </row>
    <row r="68" spans="49:51" x14ac:dyDescent="0.25">
      <c r="AW68" s="149" t="e" cm="1">
        <f t="array" aca="1" ref="AW68" ca="1">IF(MONTH(OFFSET(_xlfn.XLOOKUP(MONTH(AW4),MONTH(DATEVALUE(AO5:AO34)),AO5:AO34,NA(),0,1),3,0))=MONTH(AW4),OFFSET(_xlfn.XLOOKUP(MONTH(AW4),MONTH(DATEVALUE(AO5:AO34)),AO5:AO34,NA(),0,1),3,0),NA())</f>
        <v>#N/A</v>
      </c>
      <c r="AX68" s="146" t="e" cm="1">
        <f t="array" aca="1" ref="AX68" ca="1">IF(MONTH(AW68)=MONTH(AW4),OFFSET(_xlfn.XLOOKUP(MONTH(AW4),MONTH(DATEVALUE(AO5:AO34)),AN5:AN34,NA(),0,1),3,0),NA())</f>
        <v>#N/A</v>
      </c>
      <c r="AY68" s="151" t="e">
        <f ca="1">IF(AX68="#N/A",NA(),AN3)</f>
        <v>#N/A</v>
      </c>
    </row>
    <row r="69" spans="49:51" ht="15.75" thickBot="1" x14ac:dyDescent="0.3">
      <c r="AW69" s="150" t="e" cm="1">
        <f t="array" aca="1" ref="AW69" ca="1">IF(MONTH(OFFSET(_xlfn.XLOOKUP(MONTH(AW4),MONTH(DATEVALUE(AO5:AO34)),AO5:AO34,NA(),0,1),4,0))=MONTH(AW4),OFFSET(_xlfn.XLOOKUP(MONTH(AW4),MONTH(DATEVALUE(AO5:AO34)),AO5:AO34,NA(),0,1),4,0),NA())</f>
        <v>#N/A</v>
      </c>
      <c r="AX69" s="147" t="e" cm="1">
        <f t="array" aca="1" ref="AX69" ca="1">IF(MONTH(AW69)=MONTH(AW4),OFFSET(_xlfn.XLOOKUP(MONTH(AW4),MONTH(DATEVALUE(AO5:AO34)),AN5:AN34,NA(),0,1),4,0),NA())</f>
        <v>#N/A</v>
      </c>
      <c r="AY69" s="152" t="e">
        <f ca="1">IF(AX69="#N/A",NA(),AN3)</f>
        <v>#N/A</v>
      </c>
    </row>
    <row r="70" spans="49:51" ht="15" customHeight="1" x14ac:dyDescent="0.25">
      <c r="AW70" s="148" t="str" cm="1">
        <f t="array" ref="AW70">_xlfn.XLOOKUP(MONTH(AW4),MONTH(DATEVALUE(AQ5:AQ34)),AQ5:AQ34,NA(),0,1)</f>
        <v>14 June</v>
      </c>
      <c r="AX70" s="145" t="str" cm="1">
        <f t="array" ref="AX70">_xlfn.XLOOKUP(MONTH(AW4),MONTH(DATEVALUE(AQ5:AQ34)),AP5:AP34,NA(),0,1)</f>
        <v>Dragon Boat Festival</v>
      </c>
      <c r="AY70" s="131" t="str">
        <f>IF(AX70="#N/A",NA(),AP3)</f>
        <v>SZSE / SZSE B</v>
      </c>
    </row>
    <row r="71" spans="49:51" x14ac:dyDescent="0.25">
      <c r="AW71" s="149" t="e" cm="1">
        <f t="array" aca="1" ref="AW71" ca="1">IF(MONTH(OFFSET(_xlfn.XLOOKUP(MONTH(AW4),MONTH(DATEVALUE(AQ5:AQ34)),AQ5:AQ34,NA(),0,1),1,0))=MONTH(AW4),OFFSET(_xlfn.XLOOKUP(MONTH(AW4),MONTH(DATEVALUE(AQ5:AQ34)),AQ5:AQ34,NA(),0,1),1,0),NA())</f>
        <v>#N/A</v>
      </c>
      <c r="AX71" s="146" t="e" cm="1">
        <f t="array" aca="1" ref="AX71" ca="1">IF(MONTH(AW71)=MONTH(AW4),OFFSET(_xlfn.XLOOKUP(MONTH(AW4),MONTH(DATEVALUE(AQ5:AQ34)),AP5:AP34,NA(),0,1),1,0),NA())</f>
        <v>#N/A</v>
      </c>
      <c r="AY71" s="151" t="e">
        <f ca="1">IF(AX71="#N/A",NA(),AP3)</f>
        <v>#N/A</v>
      </c>
    </row>
    <row r="72" spans="49:51" x14ac:dyDescent="0.25">
      <c r="AW72" s="149" t="e" cm="1">
        <f t="array" aca="1" ref="AW72" ca="1">IF(MONTH(OFFSET(_xlfn.XLOOKUP(MONTH(AW4),MONTH(DATEVALUE(AQ5:AQ34)),AQ5:AQ34,NA(),0,1),2,0))=MONTH(AW4),OFFSET(_xlfn.XLOOKUP(MONTH(AW4),MONTH(DATEVALUE(AQ5:AQ34)),AQ5:AQ34,NA(),0,1),2,0),NA())</f>
        <v>#N/A</v>
      </c>
      <c r="AX72" s="146" t="e" cm="1">
        <f t="array" aca="1" ref="AX72" ca="1">IF(MONTH(AW72)=MONTH(AW4),OFFSET(_xlfn.XLOOKUP(MONTH(AW4),MONTH(DATEVALUE(AQ5:AQ34)),AP5:AP34,NA(),0,1),2,0),NA())</f>
        <v>#N/A</v>
      </c>
      <c r="AY72" s="151" t="e">
        <f ca="1">IF(AX72="#N/A",NA(),AP3)</f>
        <v>#N/A</v>
      </c>
    </row>
    <row r="73" spans="49:51" x14ac:dyDescent="0.25">
      <c r="AW73" s="149" t="e" cm="1">
        <f t="array" aca="1" ref="AW73" ca="1">IF(MONTH(OFFSET(_xlfn.XLOOKUP(MONTH(AW4),MONTH(DATEVALUE(AQ5:AQ34)),AQ5:AQ34,NA(),0,1),3,0))=MONTH(AW4),OFFSET(_xlfn.XLOOKUP(MONTH(AW4),MONTH(DATEVALUE(AQ5:AQ34)),AQ5:AQ34,NA(),0,1),3,0),NA())</f>
        <v>#N/A</v>
      </c>
      <c r="AX73" s="146" t="e" cm="1">
        <f t="array" aca="1" ref="AX73" ca="1">IF(MONTH(AW73)=MONTH(AW4),OFFSET(_xlfn.XLOOKUP(MONTH(AW4),MONTH(DATEVALUE(AQ5:AQ34)),AP5:AP34,NA(),0,1),3,0),NA())</f>
        <v>#N/A</v>
      </c>
      <c r="AY73" s="151" t="e">
        <f ca="1">IF(AX73="#N/A",NA(),AP3)</f>
        <v>#N/A</v>
      </c>
    </row>
    <row r="74" spans="49:51" ht="15.75" thickBot="1" x14ac:dyDescent="0.3">
      <c r="AW74" s="150" t="e" cm="1">
        <f t="array" aca="1" ref="AW74" ca="1">IF(MONTH(OFFSET(_xlfn.XLOOKUP(MONTH(AW4),MONTH(DATEVALUE(AQ5:AQ34)),AQ5:AQ34,NA(),0,1),4,0))=MONTH(AW4),OFFSET(_xlfn.XLOOKUP(MONTH(AW4),MONTH(DATEVALUE(AQ5:AQ34)),AQ5:AQ34,NA(),0,1),4,0),NA())</f>
        <v>#N/A</v>
      </c>
      <c r="AX74" s="147" t="e" cm="1">
        <f t="array" aca="1" ref="AX74" ca="1">IF(MONTH(AW74)=MONTH(AW4),OFFSET(_xlfn.XLOOKUP(MONTH(AW4),MONTH(DATEVALUE(AQ5:AQ34)),AP5:AP34,NA(),0,1),4,0),NA())</f>
        <v>#N/A</v>
      </c>
      <c r="AY74" s="152" t="e">
        <f ca="1">IF(AX74="#N/A",NA(),AP3)</f>
        <v>#N/A</v>
      </c>
    </row>
    <row r="75" spans="49:51" ht="15" customHeight="1" x14ac:dyDescent="0.25">
      <c r="AW75" s="148" t="e" cm="1">
        <f t="array" ref="AW75">_xlfn.XLOOKUP(MONTH(AW4),MONTH(DATEVALUE(AS5:AS34)),AS5:AS34,NA(),0,1)</f>
        <v>#N/A</v>
      </c>
      <c r="AX75" s="145" t="e" cm="1">
        <f t="array" ref="AX75">_xlfn.XLOOKUP(MONTH(AW4),MONTH(DATEVALUE(AS5:AS34)),AR5:AR34,NA(),0,1)</f>
        <v>#N/A</v>
      </c>
      <c r="AY75" s="131" t="e">
        <f>IF(AX75="#N/A",NA(),AR3)</f>
        <v>#N/A</v>
      </c>
    </row>
    <row r="76" spans="49:51" x14ac:dyDescent="0.25">
      <c r="AW76" s="149" t="e" cm="1">
        <f t="array" aca="1" ref="AW76" ca="1">IF(MONTH(OFFSET(_xlfn.XLOOKUP(MONTH(AW4),MONTH(DATEVALUE(AS5:AS34)),AS5:AS34,NA(),0,1),1,0))=MONTH(AW4),OFFSET(_xlfn.XLOOKUP(MONTH(AW4),MONTH(DATEVALUE(AS5:AS34)),AS5:AS34,NA(),0,1),1,0),NA())</f>
        <v>#N/A</v>
      </c>
      <c r="AX76" s="146" t="e" cm="1">
        <f t="array" aca="1" ref="AX76" ca="1">IF(MONTH(AW76)=MONTH(AW4),OFFSET(_xlfn.XLOOKUP(MONTH(AW4),MONTH(DATEVALUE(AS5:AS34)),AR5:AR34,NA(),0,1),1,0),NA())</f>
        <v>#N/A</v>
      </c>
      <c r="AY76" s="151" t="e">
        <f ca="1">IF(AX76="#N/A",NA(),AR3)</f>
        <v>#N/A</v>
      </c>
    </row>
    <row r="77" spans="49:51" x14ac:dyDescent="0.25">
      <c r="AW77" s="149" t="e" cm="1">
        <f t="array" aca="1" ref="AW77" ca="1">IF(MONTH(OFFSET(_xlfn.XLOOKUP(MONTH(AW4),MONTH(DATEVALUE(AS5:AS34)),AS5:AS34,NA(),0,1),2,0))=MONTH(AW4),OFFSET(_xlfn.XLOOKUP(MONTH(AW4),MONTH(DATEVALUE(AS5:AS34)),AS5:AS34,NA(),0,1),2,0),NA())</f>
        <v>#N/A</v>
      </c>
      <c r="AX77" s="146" t="e" cm="1">
        <f t="array" aca="1" ref="AX77" ca="1">IF(MONTH(AW77)=MONTH(AW4),OFFSET(_xlfn.XLOOKUP(MONTH(AW4),MONTH(DATEVALUE(AS5:AS34)),AR5:AR34,NA(),0,1),2,0),NA())</f>
        <v>#N/A</v>
      </c>
      <c r="AY77" s="151" t="e">
        <f ca="1">IF(AX77="#N/A",NA(),AR3)</f>
        <v>#N/A</v>
      </c>
    </row>
    <row r="78" spans="49:51" x14ac:dyDescent="0.25">
      <c r="AW78" s="149" t="e" cm="1">
        <f t="array" aca="1" ref="AW78" ca="1">IF(MONTH(OFFSET(_xlfn.XLOOKUP(MONTH(AW4),MONTH(DATEVALUE(AS5:AS34)),AS5:AS34,NA(),0,1),3,0))=MONTH(AW4),OFFSET(_xlfn.XLOOKUP(MONTH(AW4),MONTH(DATEVALUE(AS5:AS34)),AS5:AS34,NA(),0,1),3,0),NA())</f>
        <v>#N/A</v>
      </c>
      <c r="AX78" s="146" t="e" cm="1">
        <f t="array" aca="1" ref="AX78" ca="1">IF(MONTH(AW78)=MONTH(AW4),OFFSET(_xlfn.XLOOKUP(MONTH(AW4),MONTH(DATEVALUE(AS5:AS34)),AR5:AR34,NA(),0,1),3,0),NA())</f>
        <v>#N/A</v>
      </c>
      <c r="AY78" s="151" t="e">
        <f ca="1">IF(AX78="#N/A",NA(),AR3)</f>
        <v>#N/A</v>
      </c>
    </row>
    <row r="79" spans="49:51" ht="15.75" thickBot="1" x14ac:dyDescent="0.3">
      <c r="AW79" s="150" t="e" cm="1">
        <f t="array" aca="1" ref="AW79" ca="1">IF(MONTH(OFFSET(_xlfn.XLOOKUP(MONTH(AW4),MONTH(DATEVALUE(AS5:AS34)),AS5:AS34,NA(),0,1),4,0))=MONTH(AW4),OFFSET(_xlfn.XLOOKUP(MONTH(AW4),MONTH(DATEVALUE(AS5:AS34)),AS5:AS34,NA(),0,1),4,0),NA())</f>
        <v>#N/A</v>
      </c>
      <c r="AX79" s="147" t="e" cm="1">
        <f t="array" aca="1" ref="AX79" ca="1">IF(MONTH(AW79)=MONTH(AW4),OFFSET(_xlfn.XLOOKUP(MONTH(AW4),MONTH(DATEVALUE(AS5:AS34)),AR5:AR34,NA(),0,1),4,0),NA())</f>
        <v>#N/A</v>
      </c>
      <c r="AY79" s="152" t="e">
        <f ca="1">IF(AX79="#N/A",NA(),AR3)</f>
        <v>#N/A</v>
      </c>
    </row>
  </sheetData>
  <mergeCells count="28">
    <mergeCell ref="C31:D32"/>
    <mergeCell ref="AD3:AE3"/>
    <mergeCell ref="C28:D28"/>
    <mergeCell ref="C29:D30"/>
    <mergeCell ref="K5:L5"/>
    <mergeCell ref="E27:F27"/>
    <mergeCell ref="G27:I27"/>
    <mergeCell ref="AN3:AO3"/>
    <mergeCell ref="AL3:AM3"/>
    <mergeCell ref="AJ3:AK3"/>
    <mergeCell ref="AH3:AI3"/>
    <mergeCell ref="AF3:AG3"/>
    <mergeCell ref="AW4:AX4"/>
    <mergeCell ref="AU4:AV4"/>
    <mergeCell ref="C2:D3"/>
    <mergeCell ref="X3:Y3"/>
    <mergeCell ref="V3:W3"/>
    <mergeCell ref="T3:U3"/>
    <mergeCell ref="AW3:AX3"/>
    <mergeCell ref="N3:O3"/>
    <mergeCell ref="P3:Q3"/>
    <mergeCell ref="R3:S3"/>
    <mergeCell ref="K2:L3"/>
    <mergeCell ref="AU3:AV3"/>
    <mergeCell ref="Z3:AA3"/>
    <mergeCell ref="AB3:AC3"/>
    <mergeCell ref="AR3:AS3"/>
    <mergeCell ref="AP3:AQ3"/>
  </mergeCells>
  <phoneticPr fontId="15" type="noConversion"/>
  <conditionalFormatting sqref="C5:I5">
    <cfRule type="cellIs" dxfId="203" priority="23" operator="equal">
      <formula>"Sunday"</formula>
    </cfRule>
    <cfRule type="cellIs" dxfId="202" priority="24" operator="equal">
      <formula>"Saturday"</formula>
    </cfRule>
  </conditionalFormatting>
  <conditionalFormatting sqref="C9:I9">
    <cfRule type="cellIs" dxfId="201" priority="21" operator="equal">
      <formula>"Sunday"</formula>
    </cfRule>
    <cfRule type="cellIs" dxfId="200" priority="22" operator="equal">
      <formula>"Saturday"</formula>
    </cfRule>
  </conditionalFormatting>
  <conditionalFormatting sqref="C13:I13">
    <cfRule type="cellIs" dxfId="199" priority="19" operator="equal">
      <formula>"Sunday"</formula>
    </cfRule>
    <cfRule type="cellIs" dxfId="198" priority="20" operator="equal">
      <formula>"Saturday"</formula>
    </cfRule>
  </conditionalFormatting>
  <conditionalFormatting sqref="C17:I17">
    <cfRule type="cellIs" dxfId="197" priority="17" operator="equal">
      <formula>"Sunday"</formula>
    </cfRule>
    <cfRule type="cellIs" dxfId="196" priority="18" operator="equal">
      <formula>"Saturday"</formula>
    </cfRule>
  </conditionalFormatting>
  <conditionalFormatting sqref="C21:I21">
    <cfRule type="cellIs" dxfId="195" priority="15" operator="equal">
      <formula>"Sunday"</formula>
    </cfRule>
    <cfRule type="cellIs" dxfId="194" priority="16" operator="equal">
      <formula>"Saturday"</formula>
    </cfRule>
  </conditionalFormatting>
  <conditionalFormatting sqref="K1:L1 K4:L4 K6:L1048576">
    <cfRule type="notContainsBlanks" dxfId="193" priority="13">
      <formula>LEN(TRIM(K1))&gt;0</formula>
    </cfRule>
  </conditionalFormatting>
  <conditionalFormatting sqref="C7:I7">
    <cfRule type="notContainsBlanks" dxfId="192" priority="12">
      <formula>LEN(TRIM(C7))&gt;0</formula>
    </cfRule>
  </conditionalFormatting>
  <conditionalFormatting sqref="C11:I11">
    <cfRule type="notContainsBlanks" dxfId="191" priority="11">
      <formula>LEN(TRIM(C11))&gt;0</formula>
    </cfRule>
  </conditionalFormatting>
  <conditionalFormatting sqref="C15:I15">
    <cfRule type="notContainsBlanks" dxfId="190" priority="10">
      <formula>LEN(TRIM(C15))&gt;0</formula>
    </cfRule>
  </conditionalFormatting>
  <conditionalFormatting sqref="C19:I19">
    <cfRule type="notContainsBlanks" dxfId="189" priority="9">
      <formula>LEN(TRIM(C19))&gt;0</formula>
    </cfRule>
  </conditionalFormatting>
  <conditionalFormatting sqref="C23:E23">
    <cfRule type="notContainsBlanks" dxfId="188" priority="8">
      <formula>LEN(TRIM(C23))&gt;0</formula>
    </cfRule>
  </conditionalFormatting>
  <conditionalFormatting sqref="C5:I23">
    <cfRule type="timePeriod" dxfId="187" priority="7" timePeriod="today">
      <formula>FLOOR(C5,1)=TODAY()</formula>
    </cfRule>
  </conditionalFormatting>
  <conditionalFormatting sqref="N5:AS31">
    <cfRule type="timePeriod" dxfId="186" priority="6" timePeriod="today">
      <formula>FLOOR(N5,1)=TODAY()</formula>
    </cfRule>
  </conditionalFormatting>
  <conditionalFormatting sqref="C31 C29">
    <cfRule type="expression" dxfId="185" priority="1">
      <formula>$C$31="CLOSED"</formula>
    </cfRule>
    <cfRule type="expression" dxfId="184" priority="2">
      <formula>$C$31="OPEN"</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433" r:id="rId4" name="Drop Down 1">
              <controlPr defaultSize="0" autoLine="0" autoPict="0">
                <anchor moveWithCells="1">
                  <from>
                    <xdr:col>5</xdr:col>
                    <xdr:colOff>847725</xdr:colOff>
                    <xdr:row>1</xdr:row>
                    <xdr:rowOff>28575</xdr:rowOff>
                  </from>
                  <to>
                    <xdr:col>6</xdr:col>
                    <xdr:colOff>781050</xdr:colOff>
                    <xdr:row>2</xdr:row>
                    <xdr:rowOff>152400</xdr:rowOff>
                  </to>
                </anchor>
              </controlPr>
            </control>
          </mc:Choice>
        </mc:AlternateContent>
        <mc:AlternateContent xmlns:mc="http://schemas.openxmlformats.org/markup-compatibility/2006">
          <mc:Choice Requires="x14">
            <control shapeId="18434" r:id="rId5" name="Drop Down 2">
              <controlPr defaultSize="0" autoLine="0" autoPict="0">
                <anchor moveWithCells="1">
                  <from>
                    <xdr:col>7</xdr:col>
                    <xdr:colOff>47625</xdr:colOff>
                    <xdr:row>1</xdr:row>
                    <xdr:rowOff>28575</xdr:rowOff>
                  </from>
                  <to>
                    <xdr:col>7</xdr:col>
                    <xdr:colOff>1609725</xdr:colOff>
                    <xdr:row>2</xdr:row>
                    <xdr:rowOff>142875</xdr:rowOff>
                  </to>
                </anchor>
              </controlPr>
            </control>
          </mc:Choice>
        </mc:AlternateContent>
        <mc:AlternateContent xmlns:mc="http://schemas.openxmlformats.org/markup-compatibility/2006">
          <mc:Choice Requires="x14">
            <control shapeId="18435" r:id="rId6" name="Drop Down 3">
              <controlPr defaultSize="0" autoLine="0" autoPict="0">
                <anchor moveWithCells="1">
                  <from>
                    <xdr:col>4</xdr:col>
                    <xdr:colOff>28575</xdr:colOff>
                    <xdr:row>1</xdr:row>
                    <xdr:rowOff>47625</xdr:rowOff>
                  </from>
                  <to>
                    <xdr:col>4</xdr:col>
                    <xdr:colOff>1590675</xdr:colOff>
                    <xdr:row>2</xdr:row>
                    <xdr:rowOff>161925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FFFFBD-B9D7-491A-BC5A-210C7444D273}">
  <sheetPr codeName="AMEX"/>
  <dimension ref="A1:M12"/>
  <sheetViews>
    <sheetView workbookViewId="0">
      <pane ySplit="3" topLeftCell="A4" activePane="bottomLeft" state="frozen"/>
      <selection pane="bottomLeft" activeCell="E4" sqref="E4"/>
    </sheetView>
  </sheetViews>
  <sheetFormatPr defaultColWidth="9.140625" defaultRowHeight="15" x14ac:dyDescent="0.25"/>
  <cols>
    <col min="1" max="1" width="9.140625" style="64"/>
    <col min="2" max="2" width="11.140625" style="64" bestFit="1" customWidth="1"/>
    <col min="3" max="3" width="28.5703125" style="62" bestFit="1" customWidth="1"/>
    <col min="4" max="5" width="9.140625" style="64"/>
    <col min="6" max="6" width="9.85546875" style="64" bestFit="1" customWidth="1"/>
    <col min="7" max="11" width="9.140625" style="62"/>
    <col min="12" max="12" width="11" style="62" bestFit="1" customWidth="1"/>
    <col min="13" max="16384" width="9.140625" style="62"/>
  </cols>
  <sheetData>
    <row r="1" spans="1:13" x14ac:dyDescent="0.25">
      <c r="A1" s="64" t="str" cm="1">
        <f t="array" aca="1" ref="A1" ca="1">RIGHT(CELL("filename",A1),LEN(CELL("filename",A1))-SEARCH("]",CELL("filename",A1)))</f>
        <v>AMEX</v>
      </c>
      <c r="B1" s="58" t="s">
        <v>13</v>
      </c>
      <c r="C1" s="5" t="s">
        <v>14</v>
      </c>
      <c r="D1" s="64" t="str">
        <f ca="1">Markets!C2</f>
        <v>CLOSED</v>
      </c>
      <c r="H1" s="219" t="s">
        <v>302</v>
      </c>
      <c r="I1" s="219"/>
      <c r="J1" s="219"/>
      <c r="K1" s="219"/>
      <c r="L1" s="219"/>
      <c r="M1" s="219"/>
    </row>
    <row r="2" spans="1:13" x14ac:dyDescent="0.25">
      <c r="B2" s="70"/>
      <c r="C2" s="71"/>
      <c r="H2" s="217" t="s">
        <v>303</v>
      </c>
      <c r="I2" s="218"/>
      <c r="J2" s="74" t="s">
        <v>287</v>
      </c>
      <c r="K2" s="74" t="s">
        <v>286</v>
      </c>
      <c r="L2" s="74" t="s">
        <v>327</v>
      </c>
      <c r="M2" s="74" t="s">
        <v>289</v>
      </c>
    </row>
    <row r="3" spans="1:13" s="75" customFormat="1" x14ac:dyDescent="0.25">
      <c r="A3" s="74" t="s">
        <v>287</v>
      </c>
      <c r="B3" s="74" t="s">
        <v>288</v>
      </c>
      <c r="C3" s="74" t="s">
        <v>289</v>
      </c>
      <c r="D3" s="74" t="s">
        <v>286</v>
      </c>
      <c r="E3" s="74" t="s">
        <v>287</v>
      </c>
      <c r="F3" s="74" t="s">
        <v>327</v>
      </c>
      <c r="H3" s="77" t="s">
        <v>304</v>
      </c>
      <c r="I3" s="78" t="s">
        <v>312</v>
      </c>
      <c r="J3" s="78" t="str">
        <f>INDEX(A:F,MATCH(I3,B:B,0),1) &amp; IF(ISBLANK(INDEX(A:F,MATCH(I3,B:B,0),5)),""," ("&amp;INDEX(A:F,MATCH(I3,B:B,0),5)&amp;")")</f>
        <v>STOCK</v>
      </c>
      <c r="K3" s="78">
        <f>INDEX(A:F,MATCH(I3,B:B,0),4)</f>
        <v>1</v>
      </c>
      <c r="L3" s="78" t="str">
        <f>IF(ISBLANK(INDEX(A:F,MATCH(I3,B:B,0),6)),"UNKNOWN",INDEX(A:F,MATCH(I3,B:B,0),6))</f>
        <v>UNKNOWN</v>
      </c>
      <c r="M3" s="79" t="str">
        <f>INDEX(A:F,MATCH(I3,B:B,0),3)</f>
        <v>NORTHERN OIL&amp;GAS</v>
      </c>
    </row>
    <row r="4" spans="1:13" x14ac:dyDescent="0.25">
      <c r="A4" s="64" t="s">
        <v>283</v>
      </c>
      <c r="B4" s="59" t="s">
        <v>87</v>
      </c>
      <c r="C4" s="55" t="e" vm="24">
        <v>#VALUE!</v>
      </c>
      <c r="D4" s="64">
        <v>1</v>
      </c>
      <c r="F4" s="64" t="s">
        <v>293</v>
      </c>
    </row>
    <row r="5" spans="1:13" x14ac:dyDescent="0.25">
      <c r="A5" s="64" t="s">
        <v>283</v>
      </c>
      <c r="B5" s="59" t="s">
        <v>141</v>
      </c>
      <c r="C5" s="61" t="s">
        <v>144</v>
      </c>
      <c r="D5" s="64">
        <v>1</v>
      </c>
    </row>
    <row r="6" spans="1:13" x14ac:dyDescent="0.25">
      <c r="A6" s="64" t="s">
        <v>283</v>
      </c>
      <c r="B6" s="59" t="s">
        <v>142</v>
      </c>
      <c r="C6" s="61" t="s">
        <v>143</v>
      </c>
      <c r="D6" s="64">
        <v>1</v>
      </c>
    </row>
    <row r="7" spans="1:13" x14ac:dyDescent="0.25">
      <c r="A7" s="64" t="s">
        <v>283</v>
      </c>
      <c r="B7" s="64" t="s">
        <v>393</v>
      </c>
      <c r="C7" s="62" t="s">
        <v>394</v>
      </c>
      <c r="D7" s="64">
        <v>1</v>
      </c>
    </row>
    <row r="8" spans="1:13" x14ac:dyDescent="0.25">
      <c r="A8" s="64" t="s">
        <v>283</v>
      </c>
      <c r="B8" s="64" t="s">
        <v>170</v>
      </c>
      <c r="C8" s="62" t="s">
        <v>406</v>
      </c>
      <c r="D8" s="64">
        <v>1</v>
      </c>
      <c r="F8" s="64" t="s">
        <v>293</v>
      </c>
    </row>
    <row r="9" spans="1:13" x14ac:dyDescent="0.25">
      <c r="A9" s="64" t="s">
        <v>283</v>
      </c>
      <c r="B9" s="64" t="s">
        <v>407</v>
      </c>
      <c r="C9" s="62" t="s">
        <v>408</v>
      </c>
      <c r="D9" s="64">
        <v>1</v>
      </c>
      <c r="F9" s="64" t="s">
        <v>293</v>
      </c>
    </row>
    <row r="10" spans="1:13" x14ac:dyDescent="0.25">
      <c r="A10" s="64" t="s">
        <v>283</v>
      </c>
      <c r="B10" s="64" t="s">
        <v>415</v>
      </c>
      <c r="C10" s="62" t="s">
        <v>416</v>
      </c>
      <c r="D10" s="64">
        <v>1</v>
      </c>
    </row>
    <row r="11" spans="1:13" x14ac:dyDescent="0.25">
      <c r="A11" s="64" t="s">
        <v>283</v>
      </c>
      <c r="B11" s="64" t="s">
        <v>417</v>
      </c>
      <c r="C11" s="62" t="s">
        <v>418</v>
      </c>
      <c r="D11" s="64">
        <v>1</v>
      </c>
    </row>
    <row r="12" spans="1:13" x14ac:dyDescent="0.25">
      <c r="A12" s="64" t="s">
        <v>283</v>
      </c>
      <c r="B12" s="64" t="s">
        <v>419</v>
      </c>
      <c r="C12" s="62" t="s">
        <v>420</v>
      </c>
      <c r="D12" s="64">
        <v>1</v>
      </c>
    </row>
  </sheetData>
  <mergeCells count="2">
    <mergeCell ref="H2:I2"/>
    <mergeCell ref="H1:M1"/>
  </mergeCells>
  <conditionalFormatting sqref="B1:B1048576">
    <cfRule type="duplicateValues" dxfId="183" priority="10"/>
  </conditionalFormatting>
  <conditionalFormatting sqref="A1:XFD1048576">
    <cfRule type="notContainsBlanks" dxfId="182" priority="11">
      <formula>LEN(TRIM(A1))&gt;0</formula>
    </cfRule>
  </conditionalFormatting>
  <conditionalFormatting sqref="A1:F1048576">
    <cfRule type="expression" dxfId="181" priority="12">
      <formula>$B1=$I$3</formula>
    </cfRule>
  </conditionalFormatting>
  <conditionalFormatting sqref="D1">
    <cfRule type="cellIs" dxfId="180" priority="8" operator="equal">
      <formula>"OPEN"</formula>
    </cfRule>
    <cfRule type="cellIs" dxfId="179" priority="9" operator="equal">
      <formula>"CLOSED"</formula>
    </cfRule>
  </conditionalFormatting>
  <conditionalFormatting sqref="E1:E1048576">
    <cfRule type="containsText" dxfId="178" priority="5" operator="containsText" text="SIP">
      <formula>NOT(ISERROR(SEARCH("SIP",E1)))</formula>
    </cfRule>
  </conditionalFormatting>
  <conditionalFormatting sqref="F1:F1048576">
    <cfRule type="cellIs" dxfId="177" priority="1" operator="equal">
      <formula>"NO"</formula>
    </cfRule>
    <cfRule type="cellIs" dxfId="176" priority="2" operator="equal">
      <formula>"YES"</formula>
    </cfRule>
  </conditionalFormatting>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2">
        <x14:dataValidation type="list" allowBlank="1" showInputMessage="1" showErrorMessage="1" xr:uid="{D0B826FD-4419-42E5-B1D2-852B6E3BFF6B}">
          <x14:formula1>
            <xm:f>Markets!$K$42:$K$49</xm:f>
          </x14:formula1>
          <xm:sqref>A4:A12</xm:sqref>
        </x14:dataValidation>
        <x14:dataValidation type="list" allowBlank="1" showInputMessage="1" showErrorMessage="1" xr:uid="{D22DE703-78C6-41C6-8238-92EEEACE4CE2}">
          <x14:formula1>
            <xm:f>Markets!$N$42:$N$44</xm:f>
          </x14:formula1>
          <xm:sqref>F4:F12</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90D1A9-E8AC-4F98-898B-07ECEED83825}">
  <sheetPr codeName="ASX"/>
  <dimension ref="A1:N13"/>
  <sheetViews>
    <sheetView workbookViewId="0">
      <pane ySplit="3" topLeftCell="A4" activePane="bottomLeft" state="frozen"/>
      <selection pane="bottomLeft" activeCell="H14" sqref="H14"/>
    </sheetView>
  </sheetViews>
  <sheetFormatPr defaultColWidth="9.140625" defaultRowHeight="15" x14ac:dyDescent="0.25"/>
  <cols>
    <col min="1" max="2" width="9.140625" style="64"/>
    <col min="3" max="3" width="61.7109375" style="62" bestFit="1" customWidth="1"/>
    <col min="4" max="5" width="9.140625" style="64"/>
    <col min="6" max="6" width="9.85546875" style="64" bestFit="1" customWidth="1"/>
    <col min="7" max="7" width="9.85546875" style="64" customWidth="1"/>
    <col min="8" max="8" width="13.42578125" style="105" bestFit="1" customWidth="1"/>
    <col min="9" max="10" width="9.140625" style="62"/>
    <col min="11" max="11" width="11" style="62" bestFit="1" customWidth="1"/>
    <col min="12" max="12" width="9.140625" style="62"/>
    <col min="13" max="13" width="11" style="62" bestFit="1" customWidth="1"/>
    <col min="14" max="16384" width="9.140625" style="62"/>
  </cols>
  <sheetData>
    <row r="1" spans="1:14" x14ac:dyDescent="0.25">
      <c r="A1" s="64" t="str" cm="1">
        <f t="array" aca="1" ref="A1" ca="1">RIGHT(CELL("filename",A1),LEN(CELL("filename",A1))-SEARCH("]",CELL("filename",A1)))</f>
        <v>ASX</v>
      </c>
      <c r="B1" s="57" t="s">
        <v>20</v>
      </c>
      <c r="C1" s="54" t="s">
        <v>21</v>
      </c>
      <c r="D1" s="64" t="str">
        <f ca="1">Markets!C3</f>
        <v>CLOSED</v>
      </c>
      <c r="I1" s="219" t="s">
        <v>302</v>
      </c>
      <c r="J1" s="219"/>
      <c r="K1" s="219"/>
      <c r="L1" s="219"/>
      <c r="M1" s="219"/>
      <c r="N1" s="219"/>
    </row>
    <row r="2" spans="1:14" x14ac:dyDescent="0.25">
      <c r="B2" s="72"/>
      <c r="C2" s="73"/>
      <c r="I2" s="217" t="s">
        <v>303</v>
      </c>
      <c r="J2" s="218"/>
      <c r="K2" s="74" t="s">
        <v>287</v>
      </c>
      <c r="L2" s="74" t="s">
        <v>286</v>
      </c>
      <c r="M2" s="74" t="s">
        <v>327</v>
      </c>
      <c r="N2" s="74" t="s">
        <v>289</v>
      </c>
    </row>
    <row r="3" spans="1:14" s="75" customFormat="1" x14ac:dyDescent="0.25">
      <c r="A3" s="74" t="s">
        <v>287</v>
      </c>
      <c r="B3" s="74" t="s">
        <v>288</v>
      </c>
      <c r="C3" s="74" t="s">
        <v>289</v>
      </c>
      <c r="D3" s="74" t="s">
        <v>286</v>
      </c>
      <c r="E3" s="74" t="s">
        <v>287</v>
      </c>
      <c r="F3" s="74" t="s">
        <v>327</v>
      </c>
      <c r="G3" s="74" t="s">
        <v>661</v>
      </c>
      <c r="H3" s="115" t="s">
        <v>660</v>
      </c>
      <c r="I3" s="77" t="s">
        <v>304</v>
      </c>
      <c r="J3" s="78" t="s">
        <v>88</v>
      </c>
      <c r="K3" s="78" t="str">
        <f>INDEX(A:F,MATCH(J3,B:B,0),1) &amp; IF(ISBLANK(INDEX(A:F,MATCH(J3,B:B,0),5)),""," ("&amp;INDEX(A:F,MATCH(J3,B:B,0),5)&amp;")")</f>
        <v>STOCK (CD)</v>
      </c>
      <c r="L3" s="78">
        <f>INDEX(A:F,MATCH(J3,B:B,0),4)</f>
        <v>1</v>
      </c>
      <c r="M3" s="78" t="str">
        <f>IF(ISBLANK(INDEX(A:F,MATCH(J3,B:B,0),6)),"UNKNOWN",INDEX(A:F,MATCH(J3,B:B,0),6))</f>
        <v>YES</v>
      </c>
      <c r="N3" s="79" t="e" vm="25">
        <f>INDEX(A:F,MATCH(J3,B:B,0),3)</f>
        <v>#VALUE!</v>
      </c>
    </row>
    <row r="4" spans="1:14" x14ac:dyDescent="0.25">
      <c r="A4" s="64" t="s">
        <v>283</v>
      </c>
      <c r="B4" s="67" t="s">
        <v>88</v>
      </c>
      <c r="C4" s="56" t="e" vm="25">
        <v>#VALUE!</v>
      </c>
      <c r="D4" s="59">
        <v>1</v>
      </c>
      <c r="E4" s="68" t="s">
        <v>68</v>
      </c>
      <c r="F4" s="64" t="s">
        <v>293</v>
      </c>
      <c r="G4" s="64" t="str" cm="1">
        <f t="array" ref="G4">_FV(C4,"Currency")</f>
        <v>AUD</v>
      </c>
      <c r="H4" s="105" cm="1">
        <f t="array" ref="H4">_FV(C4,"Price")</f>
        <v>101.31</v>
      </c>
    </row>
    <row r="5" spans="1:14" x14ac:dyDescent="0.25">
      <c r="A5" s="64" t="s">
        <v>283</v>
      </c>
      <c r="B5" s="67" t="s">
        <v>89</v>
      </c>
      <c r="C5" s="56" t="e" vm="26">
        <v>#VALUE!</v>
      </c>
      <c r="D5" s="76">
        <v>1</v>
      </c>
      <c r="F5" s="64" t="s">
        <v>293</v>
      </c>
      <c r="G5" s="64" t="str" cm="1">
        <f t="array" ref="G5">_FV(C5,"Currency")</f>
        <v>AUD</v>
      </c>
      <c r="H5" s="105" cm="1">
        <f t="array" ref="H5">_FV(C5,"Price")</f>
        <v>124.52</v>
      </c>
    </row>
    <row r="6" spans="1:14" x14ac:dyDescent="0.25">
      <c r="A6" s="64" t="s">
        <v>283</v>
      </c>
      <c r="B6" s="59" t="s">
        <v>128</v>
      </c>
      <c r="C6" s="61" t="e" vm="27">
        <v>#VALUE!</v>
      </c>
      <c r="D6" s="59">
        <v>1</v>
      </c>
      <c r="G6" s="64" t="str" cm="1">
        <f t="array" ref="G6">_FV(C6,"Currency")</f>
        <v>AUD</v>
      </c>
      <c r="H6" s="105" cm="1">
        <f t="array" ref="H6">_FV(C6,"Price")</f>
        <v>4.83</v>
      </c>
    </row>
    <row r="7" spans="1:14" x14ac:dyDescent="0.25">
      <c r="A7" s="64" t="s">
        <v>283</v>
      </c>
      <c r="B7" s="59" t="s">
        <v>136</v>
      </c>
      <c r="C7" s="61" t="e" vm="28">
        <v>#VALUE!</v>
      </c>
      <c r="D7" s="59">
        <v>1</v>
      </c>
      <c r="G7" s="64" t="str" cm="1">
        <f t="array" ref="G7">_FV(C7,"Currency")</f>
        <v>AUD</v>
      </c>
      <c r="H7" s="105" cm="1">
        <f t="array" ref="H7">_FV(C7,"Price")</f>
        <v>1.7875000000000001</v>
      </c>
    </row>
    <row r="8" spans="1:14" x14ac:dyDescent="0.25">
      <c r="A8" s="64" t="s">
        <v>283</v>
      </c>
      <c r="B8" s="64" t="s">
        <v>381</v>
      </c>
      <c r="C8" s="62" t="e" vm="29">
        <v>#VALUE!</v>
      </c>
      <c r="D8" s="64">
        <v>1</v>
      </c>
      <c r="G8" s="64" t="str" cm="1">
        <f t="array" ref="G8">_FV(C8,"Currency")</f>
        <v>AUD</v>
      </c>
      <c r="H8" s="105" cm="1">
        <f t="array" ref="H8">_FV(C8,"Price")</f>
        <v>0.13500000000000001</v>
      </c>
    </row>
    <row r="9" spans="1:14" x14ac:dyDescent="0.25">
      <c r="A9" s="64" t="s">
        <v>283</v>
      </c>
      <c r="B9" s="64" t="s">
        <v>392</v>
      </c>
      <c r="C9" s="62" t="e" vm="30">
        <v>#VALUE!</v>
      </c>
      <c r="D9" s="64">
        <v>1</v>
      </c>
      <c r="G9" s="64" t="str" cm="1">
        <f t="array" ref="G9">_FV(C9,"Currency")</f>
        <v>AUD</v>
      </c>
      <c r="H9" s="105" cm="1">
        <f t="array" ref="H9">_FV(C9,"Price")</f>
        <v>6.4999999999999997E-3</v>
      </c>
    </row>
    <row r="10" spans="1:14" x14ac:dyDescent="0.25">
      <c r="A10" s="64" t="s">
        <v>283</v>
      </c>
      <c r="B10" s="64" t="s">
        <v>433</v>
      </c>
      <c r="C10" s="62" t="e" vm="31">
        <v>#VALUE!</v>
      </c>
      <c r="D10" s="64">
        <v>1</v>
      </c>
      <c r="G10" s="64" t="str" cm="1">
        <f t="array" ref="G10">_FV(C10,"Currency")</f>
        <v>AUD</v>
      </c>
      <c r="H10" s="105" cm="1">
        <f t="array" ref="H10">_FV(C10,"Price")</f>
        <v>7.4999999999999997E-3</v>
      </c>
    </row>
    <row r="11" spans="1:14" x14ac:dyDescent="0.25">
      <c r="A11" s="64" t="s">
        <v>283</v>
      </c>
      <c r="B11" s="64" t="s">
        <v>434</v>
      </c>
      <c r="C11" s="62" t="e" vm="32">
        <v>#VALUE!</v>
      </c>
      <c r="D11" s="64">
        <v>1</v>
      </c>
      <c r="G11" s="64" t="str" cm="1">
        <f t="array" ref="G11">_FV(C11,"Currency")</f>
        <v>AUD</v>
      </c>
      <c r="H11" s="105" cm="1">
        <f t="array" ref="H11">_FV(C11,"Price")</f>
        <v>1.5E-3</v>
      </c>
    </row>
    <row r="13" spans="1:14" x14ac:dyDescent="0.25">
      <c r="C13" s="62" t="e" vm="33">
        <v>#VALUE!</v>
      </c>
    </row>
  </sheetData>
  <mergeCells count="2">
    <mergeCell ref="I1:N1"/>
    <mergeCell ref="I2:J2"/>
  </mergeCells>
  <conditionalFormatting sqref="B1:B1048576">
    <cfRule type="duplicateValues" dxfId="175" priority="11"/>
  </conditionalFormatting>
  <conditionalFormatting sqref="A1:O3 A12:O1048576 A4:E11 G4:O11">
    <cfRule type="notContainsBlanks" dxfId="174" priority="17">
      <formula>LEN(TRIM(A1))&gt;0</formula>
    </cfRule>
  </conditionalFormatting>
  <conditionalFormatting sqref="A1:H3 A12:H1048576 A4:E11 G4:H11">
    <cfRule type="expression" dxfId="173" priority="12">
      <formula>$B1=$J$3</formula>
    </cfRule>
  </conditionalFormatting>
  <conditionalFormatting sqref="D1">
    <cfRule type="cellIs" dxfId="172" priority="8" operator="equal">
      <formula>"OPEN"</formula>
    </cfRule>
    <cfRule type="cellIs" dxfId="171" priority="9" operator="equal">
      <formula>"CLOSED"</formula>
    </cfRule>
  </conditionalFormatting>
  <conditionalFormatting sqref="F1:F3 F12:F1048576">
    <cfRule type="cellIs" dxfId="170" priority="6" operator="equal">
      <formula>"NO"</formula>
    </cfRule>
    <cfRule type="cellIs" dxfId="169" priority="7" operator="equal">
      <formula>"YES"</formula>
    </cfRule>
  </conditionalFormatting>
  <conditionalFormatting sqref="E1:E1048576">
    <cfRule type="containsText" dxfId="168" priority="5" operator="containsText" text="SIP">
      <formula>NOT(ISERROR(SEARCH("SIP",E1)))</formula>
    </cfRule>
  </conditionalFormatting>
  <conditionalFormatting sqref="F4:F11">
    <cfRule type="notContainsBlanks" dxfId="167" priority="4">
      <formula>LEN(TRIM(F4))&gt;0</formula>
    </cfRule>
  </conditionalFormatting>
  <conditionalFormatting sqref="F4:F11">
    <cfRule type="expression" dxfId="166" priority="3">
      <formula>$B4=$J$3</formula>
    </cfRule>
  </conditionalFormatting>
  <conditionalFormatting sqref="F4:F11">
    <cfRule type="cellIs" dxfId="165" priority="1" operator="equal">
      <formula>"NO"</formula>
    </cfRule>
    <cfRule type="cellIs" dxfId="164" priority="2" operator="equal">
      <formula>"YES"</formula>
    </cfRule>
  </conditionalFormatting>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3FFE1053-9B6E-42A5-8287-439802D6BDAB}">
          <x14:formula1>
            <xm:f>Markets!$K$42:$K$49</xm:f>
          </x14:formula1>
          <xm:sqref>A4:A11</xm:sqref>
        </x14:dataValidation>
        <x14:dataValidation type="list" allowBlank="1" showInputMessage="1" showErrorMessage="1" xr:uid="{6F456044-2FBA-4C03-8537-A2FD9C49E4F7}">
          <x14:formula1>
            <xm:f>Markets!$N$42:$N$44</xm:f>
          </x14:formula1>
          <xm:sqref>F4:F11</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735D5B-734A-4ED8-A914-AB7BE9C482A1}">
  <sheetPr codeName="BURSA"/>
  <dimension ref="A1:M12"/>
  <sheetViews>
    <sheetView workbookViewId="0">
      <pane ySplit="3" topLeftCell="A4" activePane="bottomLeft" state="frozen"/>
      <selection pane="bottomLeft" activeCell="A11" sqref="A11:XFD11"/>
    </sheetView>
  </sheetViews>
  <sheetFormatPr defaultColWidth="9.140625" defaultRowHeight="15" x14ac:dyDescent="0.25"/>
  <cols>
    <col min="1" max="1" width="9.140625" style="64"/>
    <col min="2" max="2" width="14.140625" style="165" bestFit="1" customWidth="1"/>
    <col min="3" max="3" width="24.42578125" style="62" bestFit="1" customWidth="1"/>
    <col min="4" max="5" width="9.140625" style="64"/>
    <col min="6" max="6" width="9.85546875" style="64" bestFit="1" customWidth="1"/>
    <col min="7" max="7" width="9.140625" style="113"/>
    <col min="8" max="11" width="9.140625" style="62"/>
    <col min="12" max="12" width="11" style="62" bestFit="1" customWidth="1"/>
    <col min="13" max="16384" width="9.140625" style="62"/>
  </cols>
  <sheetData>
    <row r="1" spans="1:13" x14ac:dyDescent="0.25">
      <c r="A1" s="64" t="str" cm="1">
        <f t="array" aca="1" ref="A1" ca="1">RIGHT(CELL("filename",A1),LEN(CELL("filename",A1))-SEARCH("]",CELL("filename",A1)))</f>
        <v>BURSA</v>
      </c>
      <c r="B1" s="166" t="s">
        <v>25</v>
      </c>
      <c r="C1" s="5" t="s">
        <v>26</v>
      </c>
      <c r="D1" s="64" t="str">
        <f ca="1">Markets!C4</f>
        <v>CLOSED</v>
      </c>
      <c r="H1" s="219" t="s">
        <v>302</v>
      </c>
      <c r="I1" s="219"/>
      <c r="J1" s="219"/>
      <c r="K1" s="219"/>
      <c r="L1" s="219"/>
      <c r="M1" s="219"/>
    </row>
    <row r="2" spans="1:13" x14ac:dyDescent="0.25">
      <c r="B2" s="167"/>
      <c r="C2" s="71"/>
      <c r="H2" s="217" t="s">
        <v>303</v>
      </c>
      <c r="I2" s="218"/>
      <c r="J2" s="74" t="s">
        <v>287</v>
      </c>
      <c r="K2" s="74" t="s">
        <v>286</v>
      </c>
      <c r="L2" s="74" t="s">
        <v>327</v>
      </c>
      <c r="M2" s="74" t="s">
        <v>289</v>
      </c>
    </row>
    <row r="3" spans="1:13" s="75" customFormat="1" x14ac:dyDescent="0.25">
      <c r="A3" s="74" t="s">
        <v>287</v>
      </c>
      <c r="B3" s="162" t="s">
        <v>288</v>
      </c>
      <c r="C3" s="74" t="s">
        <v>289</v>
      </c>
      <c r="D3" s="74" t="s">
        <v>286</v>
      </c>
      <c r="E3" s="74" t="s">
        <v>287</v>
      </c>
      <c r="F3" s="74" t="s">
        <v>327</v>
      </c>
      <c r="G3" s="114"/>
      <c r="H3" s="77" t="s">
        <v>304</v>
      </c>
      <c r="I3" s="78">
        <v>5210</v>
      </c>
      <c r="J3" s="78" t="str">
        <f>INDEX(A:F,MATCH(I3,B:B,0),1) &amp; IF(ISBLANK(INDEX(A:F,MATCH(I3,B:B,0),5)),""," ("&amp;INDEX(A:F,MATCH(I3,B:B,0),5)&amp;")")</f>
        <v>STOCK</v>
      </c>
      <c r="K3" s="78">
        <f>INDEX(A:F,MATCH(I3,B:B,0),4)</f>
        <v>100</v>
      </c>
      <c r="L3" s="78" t="str">
        <f>IF(ISBLANK(INDEX(A:F,MATCH(I3,B:B,0),6)),"UNKNOWN",INDEX(A:F,MATCH(I3,B:B,0),6))</f>
        <v>YES</v>
      </c>
      <c r="M3" s="79" t="str">
        <f>INDEX(A:F,MATCH(I3,B:B,0),3)</f>
        <v>BUMI ARMADA</v>
      </c>
    </row>
    <row r="4" spans="1:13" x14ac:dyDescent="0.25">
      <c r="A4" s="64" t="s">
        <v>283</v>
      </c>
      <c r="B4" s="164">
        <v>5210</v>
      </c>
      <c r="C4" s="55" t="s">
        <v>90</v>
      </c>
      <c r="D4" s="59">
        <v>100</v>
      </c>
      <c r="F4" s="64" t="s">
        <v>293</v>
      </c>
    </row>
    <row r="5" spans="1:13" x14ac:dyDescent="0.25">
      <c r="A5" s="64" t="s">
        <v>283</v>
      </c>
      <c r="B5" s="164">
        <v>5218</v>
      </c>
      <c r="C5" s="55" t="s">
        <v>91</v>
      </c>
      <c r="D5" s="59">
        <v>100</v>
      </c>
      <c r="F5" s="64" t="s">
        <v>293</v>
      </c>
    </row>
    <row r="6" spans="1:13" x14ac:dyDescent="0.25">
      <c r="A6" s="64" t="s">
        <v>283</v>
      </c>
      <c r="B6" s="164">
        <v>60</v>
      </c>
      <c r="C6" s="55" t="s">
        <v>92</v>
      </c>
      <c r="D6" s="59">
        <v>100</v>
      </c>
      <c r="F6" s="64" t="s">
        <v>293</v>
      </c>
    </row>
    <row r="7" spans="1:13" x14ac:dyDescent="0.25">
      <c r="A7" s="64" t="s">
        <v>283</v>
      </c>
      <c r="B7" s="164">
        <v>1694</v>
      </c>
      <c r="C7" s="61" t="s">
        <v>117</v>
      </c>
      <c r="D7" s="59">
        <v>100</v>
      </c>
    </row>
    <row r="8" spans="1:13" x14ac:dyDescent="0.25">
      <c r="A8" s="64" t="s">
        <v>283</v>
      </c>
      <c r="B8" s="165">
        <v>3395</v>
      </c>
      <c r="C8" s="62" t="s">
        <v>360</v>
      </c>
      <c r="D8" s="64">
        <v>100</v>
      </c>
    </row>
    <row r="9" spans="1:13" x14ac:dyDescent="0.25">
      <c r="A9" s="64" t="s">
        <v>283</v>
      </c>
      <c r="B9" s="165">
        <v>1155</v>
      </c>
      <c r="C9" s="62" t="s">
        <v>383</v>
      </c>
      <c r="D9" s="64">
        <v>100</v>
      </c>
      <c r="F9" s="64" t="s">
        <v>293</v>
      </c>
    </row>
    <row r="10" spans="1:13" x14ac:dyDescent="0.25">
      <c r="A10" s="64" t="s">
        <v>283</v>
      </c>
      <c r="B10" s="165">
        <v>1503</v>
      </c>
      <c r="C10" s="62" t="s">
        <v>384</v>
      </c>
      <c r="D10" s="64">
        <v>100</v>
      </c>
      <c r="F10" s="64" t="s">
        <v>293</v>
      </c>
    </row>
    <row r="11" spans="1:13" x14ac:dyDescent="0.25">
      <c r="A11" s="64" t="s">
        <v>283</v>
      </c>
      <c r="B11" s="165">
        <v>5</v>
      </c>
      <c r="C11" s="62" t="s">
        <v>390</v>
      </c>
      <c r="D11" s="64">
        <v>100</v>
      </c>
    </row>
    <row r="12" spans="1:13" x14ac:dyDescent="0.25">
      <c r="A12" s="64" t="s">
        <v>283</v>
      </c>
      <c r="B12" s="165">
        <v>5166</v>
      </c>
      <c r="C12" s="62" t="s">
        <v>399</v>
      </c>
      <c r="D12" s="64">
        <v>100</v>
      </c>
    </row>
  </sheetData>
  <mergeCells count="2">
    <mergeCell ref="H1:M1"/>
    <mergeCell ref="H2:I2"/>
  </mergeCells>
  <conditionalFormatting sqref="B1:B1048576">
    <cfRule type="duplicateValues" dxfId="163" priority="20"/>
  </conditionalFormatting>
  <conditionalFormatting sqref="A1:N3 A13:N1048576 A4:E12 G4:N12">
    <cfRule type="notContainsBlanks" dxfId="162" priority="23">
      <formula>LEN(TRIM(A1))&gt;0</formula>
    </cfRule>
  </conditionalFormatting>
  <conditionalFormatting sqref="A1:F3 A13:F1048576 A4:E12">
    <cfRule type="expression" dxfId="161" priority="22">
      <formula>$B1=$I$3</formula>
    </cfRule>
  </conditionalFormatting>
  <conditionalFormatting sqref="D1">
    <cfRule type="cellIs" dxfId="160" priority="8" operator="equal">
      <formula>"OPEN"</formula>
    </cfRule>
    <cfRule type="cellIs" dxfId="159" priority="9" operator="equal">
      <formula>"CLOSED"</formula>
    </cfRule>
  </conditionalFormatting>
  <conditionalFormatting sqref="F1:F3 F13:F1048576">
    <cfRule type="cellIs" dxfId="158" priority="6" operator="equal">
      <formula>"NO"</formula>
    </cfRule>
    <cfRule type="cellIs" dxfId="157" priority="7" operator="equal">
      <formula>"YES"</formula>
    </cfRule>
  </conditionalFormatting>
  <conditionalFormatting sqref="E1:E1048576">
    <cfRule type="containsText" dxfId="156" priority="5" operator="containsText" text="SIP">
      <formula>NOT(ISERROR(SEARCH("SIP",E1)))</formula>
    </cfRule>
  </conditionalFormatting>
  <conditionalFormatting sqref="F4:F12">
    <cfRule type="notContainsBlanks" dxfId="155" priority="4">
      <formula>LEN(TRIM(F4))&gt;0</formula>
    </cfRule>
  </conditionalFormatting>
  <conditionalFormatting sqref="F4:F12">
    <cfRule type="expression" dxfId="154" priority="3">
      <formula>$B4=$J$3</formula>
    </cfRule>
  </conditionalFormatting>
  <conditionalFormatting sqref="F4:F12">
    <cfRule type="cellIs" dxfId="153" priority="1" operator="equal">
      <formula>"NO"</formula>
    </cfRule>
    <cfRule type="cellIs" dxfId="152" priority="2" operator="equal">
      <formula>"YES"</formula>
    </cfRule>
  </conditionalFormatting>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2">
        <x14:dataValidation type="list" allowBlank="1" showInputMessage="1" showErrorMessage="1" xr:uid="{3E65C3E0-D842-4AC9-80CB-579F6801F547}">
          <x14:formula1>
            <xm:f>Markets!$K$42:$K$49</xm:f>
          </x14:formula1>
          <xm:sqref>A4:A12</xm:sqref>
        </x14:dataValidation>
        <x14:dataValidation type="list" allowBlank="1" showInputMessage="1" showErrorMessage="1" xr:uid="{C61ADAF7-DFFA-445A-831E-E4A82CEA70F7}">
          <x14:formula1>
            <xm:f>Markets!$N$42:$N$44</xm:f>
          </x14:formula1>
          <xm:sqref>F4:F12</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EFBF91-0DF4-4426-92BE-8321FA85F67C}">
  <sheetPr codeName="HKG"/>
  <dimension ref="A1:N27"/>
  <sheetViews>
    <sheetView workbookViewId="0">
      <pane ySplit="3" topLeftCell="A4" activePane="bottomLeft" state="frozen"/>
      <selection pane="bottomLeft" activeCell="B28" sqref="B28"/>
    </sheetView>
  </sheetViews>
  <sheetFormatPr defaultColWidth="9.140625" defaultRowHeight="15" x14ac:dyDescent="0.25"/>
  <cols>
    <col min="1" max="1" width="9.140625" style="64"/>
    <col min="2" max="2" width="11" style="165" bestFit="1" customWidth="1"/>
    <col min="3" max="3" width="65.5703125" style="62" bestFit="1" customWidth="1"/>
    <col min="4" max="5" width="9.140625" style="64"/>
    <col min="6" max="6" width="9.85546875" style="64" bestFit="1" customWidth="1"/>
    <col min="7" max="7" width="9.85546875" style="64" customWidth="1"/>
    <col min="8" max="8" width="12.140625" style="108" bestFit="1" customWidth="1"/>
    <col min="9" max="10" width="9.140625" style="62"/>
    <col min="11" max="11" width="11.28515625" style="62" bestFit="1" customWidth="1"/>
    <col min="12" max="12" width="9.140625" style="62"/>
    <col min="13" max="13" width="11" style="62" bestFit="1" customWidth="1"/>
    <col min="14" max="16384" width="9.140625" style="62"/>
  </cols>
  <sheetData>
    <row r="1" spans="1:14" x14ac:dyDescent="0.25">
      <c r="A1" s="64" t="str" cm="1">
        <f t="array" aca="1" ref="A1" ca="1">RIGHT(CELL("filename",A1),LEN(CELL("filename",A1))-SEARCH("]",CELL("filename",A1)))</f>
        <v>HKG</v>
      </c>
      <c r="B1" s="160" t="s">
        <v>27</v>
      </c>
      <c r="C1" s="54" t="s">
        <v>28</v>
      </c>
      <c r="D1" s="64" t="str">
        <f ca="1">Markets!C5</f>
        <v>CLOSED</v>
      </c>
      <c r="I1" s="219" t="s">
        <v>302</v>
      </c>
      <c r="J1" s="219"/>
      <c r="K1" s="219"/>
      <c r="L1" s="219"/>
      <c r="M1" s="219"/>
      <c r="N1" s="219"/>
    </row>
    <row r="2" spans="1:14" x14ac:dyDescent="0.25">
      <c r="B2" s="161"/>
      <c r="C2" s="73"/>
      <c r="I2" s="217" t="s">
        <v>303</v>
      </c>
      <c r="J2" s="218"/>
      <c r="K2" s="74" t="s">
        <v>287</v>
      </c>
      <c r="L2" s="74" t="s">
        <v>286</v>
      </c>
      <c r="M2" s="74" t="s">
        <v>327</v>
      </c>
      <c r="N2" s="74" t="s">
        <v>289</v>
      </c>
    </row>
    <row r="3" spans="1:14" s="75" customFormat="1" x14ac:dyDescent="0.25">
      <c r="A3" s="74" t="s">
        <v>287</v>
      </c>
      <c r="B3" s="162" t="s">
        <v>288</v>
      </c>
      <c r="C3" s="74" t="s">
        <v>289</v>
      </c>
      <c r="D3" s="74" t="s">
        <v>286</v>
      </c>
      <c r="E3" s="74" t="s">
        <v>287</v>
      </c>
      <c r="F3" s="74" t="s">
        <v>327</v>
      </c>
      <c r="G3" s="74" t="s">
        <v>661</v>
      </c>
      <c r="H3" s="109" t="s">
        <v>660</v>
      </c>
      <c r="I3" s="77" t="s">
        <v>304</v>
      </c>
      <c r="J3" s="80" t="s">
        <v>395</v>
      </c>
      <c r="K3" s="78" t="e">
        <f>INDEX(A:F,MATCH(J3,B:B,0),1) &amp; IF(ISBLANK(INDEX(A:F,MATCH(J3,B:B,0),5)),""," ("&amp;INDEX(A:F,MATCH(J3,B:B,0),5)&amp;")")</f>
        <v>#N/A</v>
      </c>
      <c r="L3" s="78" t="e">
        <f>INDEX(A:F,MATCH(J3,B:B,0),4)</f>
        <v>#N/A</v>
      </c>
      <c r="M3" s="78" t="e">
        <f>IF(ISBLANK(INDEX(A:F,MATCH(J3,B:B,0),6)),"UNKNOWN",INDEX(A:F,MATCH(J3,B:B,0),6))</f>
        <v>#N/A</v>
      </c>
      <c r="N3" s="79" t="e">
        <f>INDEX(A:F,MATCH(J3,B:B,0),3)</f>
        <v>#N/A</v>
      </c>
    </row>
    <row r="4" spans="1:14" x14ac:dyDescent="0.25">
      <c r="A4" s="64" t="s">
        <v>283</v>
      </c>
      <c r="B4" s="163">
        <v>5</v>
      </c>
      <c r="C4" s="56" t="e" vm="34">
        <v>#VALUE!</v>
      </c>
      <c r="D4" s="59">
        <v>400</v>
      </c>
      <c r="F4" s="64" t="s">
        <v>293</v>
      </c>
      <c r="G4" s="64" t="str" cm="1">
        <f t="array" ref="G4">_FV(C4,"Currency")</f>
        <v>HKD</v>
      </c>
      <c r="H4" s="108" cm="1">
        <f t="array" ref="H4">_FV(C4,"Price")</f>
        <v>48.65</v>
      </c>
    </row>
    <row r="5" spans="1:14" x14ac:dyDescent="0.25">
      <c r="A5" s="64" t="s">
        <v>283</v>
      </c>
      <c r="B5" s="164">
        <v>2038</v>
      </c>
      <c r="C5" s="61" t="e" vm="35">
        <v>#VALUE!</v>
      </c>
      <c r="D5" s="59">
        <v>1000</v>
      </c>
      <c r="F5" s="64" t="s">
        <v>293</v>
      </c>
      <c r="G5" s="64" t="str" cm="1">
        <f t="array" ref="G5">_FV(C5,"Currency")</f>
        <v>HKD</v>
      </c>
      <c r="H5" s="108" cm="1">
        <f t="array" ref="H5">_FV(C5,"Price")</f>
        <v>1.22</v>
      </c>
    </row>
    <row r="6" spans="1:14" x14ac:dyDescent="0.25">
      <c r="A6" s="64" t="s">
        <v>283</v>
      </c>
      <c r="B6" s="164">
        <v>3893</v>
      </c>
      <c r="C6" s="61" t="e" vm="36">
        <v>#VALUE!</v>
      </c>
      <c r="D6" s="59">
        <v>20000</v>
      </c>
      <c r="E6" s="59" t="s">
        <v>69</v>
      </c>
      <c r="G6" s="64" t="str" cm="1">
        <f t="array" ref="G6">_FV(C6,"Currency")</f>
        <v>HKD</v>
      </c>
      <c r="H6" s="108" cm="1">
        <f t="array" ref="H6">_FV(C6,"Price")</f>
        <v>0.28499999999999998</v>
      </c>
    </row>
    <row r="7" spans="1:14" x14ac:dyDescent="0.25">
      <c r="A7" s="64" t="s">
        <v>283</v>
      </c>
      <c r="B7" s="164">
        <v>941</v>
      </c>
      <c r="C7" s="61" t="e" vm="37">
        <v>#VALUE!</v>
      </c>
      <c r="D7" s="59">
        <v>500</v>
      </c>
      <c r="F7" s="64" t="s">
        <v>293</v>
      </c>
      <c r="G7" s="64" t="str" cm="1">
        <f t="array" ref="G7">_FV(C7,"Currency")</f>
        <v>HKD</v>
      </c>
      <c r="H7" s="108" cm="1">
        <f t="array" ref="H7">_FV(C7,"Price")</f>
        <v>49</v>
      </c>
    </row>
    <row r="8" spans="1:14" x14ac:dyDescent="0.25">
      <c r="A8" s="64" t="s">
        <v>283</v>
      </c>
      <c r="B8" s="164">
        <v>736</v>
      </c>
      <c r="C8" s="61" t="e" vm="38">
        <v>#VALUE!</v>
      </c>
      <c r="D8" s="59">
        <v>3000</v>
      </c>
      <c r="E8" s="59" t="s">
        <v>69</v>
      </c>
      <c r="F8" s="64" t="s">
        <v>293</v>
      </c>
      <c r="G8" s="64" t="str" cm="1">
        <f t="array" ref="G8">_FV(C8,"Currency")</f>
        <v>HKD</v>
      </c>
      <c r="H8" s="108" cm="1">
        <f t="array" ref="H8">_FV(C8,"Price")</f>
        <v>0.86</v>
      </c>
    </row>
    <row r="9" spans="1:14" x14ac:dyDescent="0.25">
      <c r="A9" s="64" t="s">
        <v>283</v>
      </c>
      <c r="B9" s="164">
        <v>8</v>
      </c>
      <c r="C9" s="61" t="e" vm="39">
        <v>#VALUE!</v>
      </c>
      <c r="D9" s="59">
        <v>1000</v>
      </c>
      <c r="E9" s="59" t="s">
        <v>69</v>
      </c>
      <c r="G9" s="64" t="str" cm="1">
        <f t="array" ref="G9">_FV(C9,"Currency")</f>
        <v>HKD</v>
      </c>
      <c r="H9" s="108" cm="1">
        <f t="array" ref="H9">_FV(C9,"Price")</f>
        <v>4.1749999999999998</v>
      </c>
    </row>
    <row r="10" spans="1:14" x14ac:dyDescent="0.25">
      <c r="A10" s="64" t="s">
        <v>283</v>
      </c>
      <c r="B10" s="164">
        <v>1299</v>
      </c>
      <c r="C10" s="61" t="e" vm="40">
        <v>#VALUE!</v>
      </c>
      <c r="D10" s="59">
        <v>200</v>
      </c>
      <c r="G10" s="64" t="str" cm="1">
        <f t="array" ref="G10">_FV(C10,"Currency")</f>
        <v>HKD</v>
      </c>
      <c r="H10" s="108" cm="1">
        <f t="array" ref="H10">_FV(C10,"Price")</f>
        <v>96.9</v>
      </c>
    </row>
    <row r="11" spans="1:14" x14ac:dyDescent="0.25">
      <c r="A11" s="64" t="s">
        <v>283</v>
      </c>
      <c r="B11" s="164">
        <v>3300</v>
      </c>
      <c r="C11" s="61" t="e" vm="41">
        <v>#VALUE!</v>
      </c>
      <c r="D11" s="59">
        <v>2000</v>
      </c>
      <c r="G11" s="64" t="str" cm="1">
        <f t="array" ref="G11">_FV(C11,"Currency")</f>
        <v>HKD</v>
      </c>
      <c r="H11" s="108" cm="1">
        <f t="array" ref="H11">_FV(C11,"Price")</f>
        <v>1.52</v>
      </c>
    </row>
    <row r="12" spans="1:14" x14ac:dyDescent="0.25">
      <c r="A12" s="64" t="s">
        <v>283</v>
      </c>
      <c r="B12" s="164">
        <v>1128</v>
      </c>
      <c r="C12" s="61" t="e" vm="42">
        <v>#VALUE!</v>
      </c>
      <c r="D12" s="59">
        <v>400</v>
      </c>
      <c r="G12" s="64" t="str" cm="1">
        <f t="array" ref="G12">_FV(C12,"Currency")</f>
        <v>HKD</v>
      </c>
      <c r="H12" s="108" cm="1">
        <f t="array" ref="H12">_FV(C12,"Price")</f>
        <v>13.18</v>
      </c>
    </row>
    <row r="13" spans="1:14" x14ac:dyDescent="0.25">
      <c r="A13" s="64" t="s">
        <v>283</v>
      </c>
      <c r="B13" s="164">
        <v>1398</v>
      </c>
      <c r="C13" s="55" t="e" vm="43">
        <v>#VALUE!</v>
      </c>
      <c r="D13" s="59">
        <v>1000</v>
      </c>
      <c r="G13" s="64" t="str" cm="1">
        <f t="array" ref="G13">_FV(C13,"Currency")</f>
        <v>HKD</v>
      </c>
      <c r="H13" s="108" cm="1">
        <f t="array" ref="H13">_FV(C13,"Price")</f>
        <v>5.04</v>
      </c>
    </row>
    <row r="14" spans="1:14" x14ac:dyDescent="0.25">
      <c r="A14" s="64" t="s">
        <v>283</v>
      </c>
      <c r="B14" s="164">
        <v>939</v>
      </c>
      <c r="C14" s="63" t="e" vm="44">
        <v>#VALUE!</v>
      </c>
      <c r="D14" s="59">
        <v>1000</v>
      </c>
      <c r="F14" s="64" t="s">
        <v>667</v>
      </c>
      <c r="G14" s="64" t="str" cm="1">
        <f t="array" ref="G14">_FV(C14,"Currency")</f>
        <v>HKD</v>
      </c>
      <c r="H14" s="108" cm="1">
        <f t="array" ref="H14">_FV(C14,"Price")</f>
        <v>6.27</v>
      </c>
    </row>
    <row r="15" spans="1:14" x14ac:dyDescent="0.25">
      <c r="A15" s="64" t="s">
        <v>283</v>
      </c>
      <c r="B15" s="165">
        <v>3799</v>
      </c>
      <c r="C15" s="62" t="e" vm="45">
        <v>#VALUE!</v>
      </c>
      <c r="D15" s="64">
        <v>500</v>
      </c>
      <c r="G15" s="64" t="str" cm="1">
        <f t="array" ref="G15">_FV(C15,"Currency")</f>
        <v>HKD</v>
      </c>
      <c r="H15" s="108" cm="1">
        <f t="array" ref="H15">_FV(C15,"Price")</f>
        <v>4.8600000000000003</v>
      </c>
    </row>
    <row r="16" spans="1:14" x14ac:dyDescent="0.25">
      <c r="A16" s="64" t="s">
        <v>283</v>
      </c>
      <c r="B16" s="165">
        <v>87001</v>
      </c>
      <c r="C16" s="62" t="e" vm="46">
        <v>#VALUE!</v>
      </c>
      <c r="D16" s="64">
        <v>1000</v>
      </c>
      <c r="G16" s="64" t="str" cm="1">
        <f t="array" ref="G16">_FV(C16,"Currency")</f>
        <v>CNY</v>
      </c>
      <c r="H16" s="110" cm="1">
        <f t="array" ref="H16">_FV(C16,"Price")</f>
        <v>1.77</v>
      </c>
    </row>
    <row r="17" spans="1:8" x14ac:dyDescent="0.25">
      <c r="A17" s="64" t="s">
        <v>283</v>
      </c>
      <c r="B17" s="165">
        <v>3988</v>
      </c>
      <c r="C17" s="62" t="e" vm="47">
        <v>#VALUE!</v>
      </c>
      <c r="D17" s="64">
        <v>1000</v>
      </c>
      <c r="G17" s="64" t="str" cm="1">
        <f t="array" ref="G17">_FV(C17,"Currency")</f>
        <v>HKD</v>
      </c>
      <c r="H17" s="108" cm="1">
        <f t="array" ref="H17">_FV(C17,"Price")</f>
        <v>2.83</v>
      </c>
    </row>
    <row r="18" spans="1:8" x14ac:dyDescent="0.25">
      <c r="A18" s="64" t="s">
        <v>283</v>
      </c>
      <c r="B18" s="165">
        <v>883</v>
      </c>
      <c r="C18" s="62" t="e" vm="48">
        <v>#VALUE!</v>
      </c>
      <c r="D18" s="64">
        <v>1000</v>
      </c>
      <c r="G18" s="64" t="str" cm="1">
        <f t="array" ref="G18">_FV(C18,"Currency")</f>
        <v>HKD</v>
      </c>
      <c r="H18" s="108" cm="1">
        <f t="array" ref="H18">_FV(C18,"Price")</f>
        <v>9.02</v>
      </c>
    </row>
    <row r="19" spans="1:8" x14ac:dyDescent="0.25">
      <c r="A19" s="64" t="s">
        <v>283</v>
      </c>
      <c r="B19" s="165">
        <v>1060</v>
      </c>
      <c r="C19" s="62" t="e" vm="49">
        <v>#VALUE!</v>
      </c>
      <c r="D19" s="64">
        <v>10000</v>
      </c>
      <c r="F19" s="64" t="s">
        <v>293</v>
      </c>
      <c r="G19" s="64" t="str" cm="1">
        <f t="array" ref="G19">_FV(C19,"Currency")</f>
        <v>HKD</v>
      </c>
      <c r="H19" s="108" cm="1">
        <f t="array" ref="H19">_FV(C19,"Price")</f>
        <v>1.1000000000000001</v>
      </c>
    </row>
    <row r="20" spans="1:8" x14ac:dyDescent="0.25">
      <c r="A20" s="64" t="s">
        <v>283</v>
      </c>
      <c r="B20" s="165">
        <v>175</v>
      </c>
      <c r="C20" s="62" t="e" vm="50">
        <v>#VALUE!</v>
      </c>
      <c r="D20" s="64">
        <v>1000</v>
      </c>
      <c r="G20" s="64" t="str" cm="1">
        <f t="array" ref="G20">_FV(C20,"Currency")</f>
        <v>HKD</v>
      </c>
      <c r="H20" s="108" cm="1">
        <f t="array" ref="H20">_FV(C20,"Price")</f>
        <v>21.55</v>
      </c>
    </row>
    <row r="21" spans="1:8" x14ac:dyDescent="0.25">
      <c r="A21" s="64" t="s">
        <v>283</v>
      </c>
      <c r="B21" s="165">
        <v>559</v>
      </c>
      <c r="C21" s="62" t="e" vm="51">
        <v>#VALUE!</v>
      </c>
      <c r="D21" s="64">
        <v>30000</v>
      </c>
      <c r="G21" s="64" t="str" cm="1">
        <f t="array" ref="G21">_FV(C21,"Currency")</f>
        <v>HKD</v>
      </c>
      <c r="H21" s="108" cm="1">
        <f t="array" ref="H21">_FV(C21,"Price")</f>
        <v>5.5E-2</v>
      </c>
    </row>
    <row r="22" spans="1:8" x14ac:dyDescent="0.25">
      <c r="A22" s="64" t="s">
        <v>283</v>
      </c>
      <c r="B22" s="165">
        <v>3800</v>
      </c>
      <c r="C22" s="62" t="e" vm="52">
        <v>#VALUE!</v>
      </c>
      <c r="D22" s="64">
        <v>1000</v>
      </c>
      <c r="E22" s="64" t="s">
        <v>76</v>
      </c>
      <c r="G22" s="64" t="str" cm="1">
        <f t="array" ref="G22">_FV(C22,"Currency")</f>
        <v>HKD</v>
      </c>
      <c r="H22" s="108" cm="1">
        <f t="array" ref="H22">_FV(C22,"Price")</f>
        <v>1.98</v>
      </c>
    </row>
    <row r="23" spans="1:8" x14ac:dyDescent="0.25">
      <c r="A23" s="64" t="s">
        <v>283</v>
      </c>
      <c r="B23" s="165">
        <v>10</v>
      </c>
      <c r="C23" s="62" t="e" vm="53">
        <v>#VALUE!</v>
      </c>
      <c r="D23" s="64">
        <v>1000</v>
      </c>
      <c r="F23" s="64" t="s">
        <v>294</v>
      </c>
      <c r="G23" s="64" t="str" cm="1">
        <f t="array" ref="G23">_FV(C23,"Currency")</f>
        <v>HKD</v>
      </c>
      <c r="H23" s="108" cm="1">
        <f t="array" ref="H23">_FV(C23,"Price")</f>
        <v>20.3</v>
      </c>
    </row>
    <row r="24" spans="1:8" x14ac:dyDescent="0.25">
      <c r="A24" s="64" t="s">
        <v>283</v>
      </c>
      <c r="B24" s="165">
        <v>11</v>
      </c>
      <c r="C24" s="62" t="e" vm="54">
        <v>#VALUE!</v>
      </c>
      <c r="D24" s="64">
        <v>100</v>
      </c>
      <c r="F24" s="64" t="s">
        <v>293</v>
      </c>
      <c r="G24" s="64" t="str" cm="1">
        <f t="array" ref="G24">_FV(C24,"Currency")</f>
        <v>HKD</v>
      </c>
      <c r="H24" s="108" cm="1">
        <f t="array" ref="H24">_FV(C24,"Price")</f>
        <v>160.69999999999999</v>
      </c>
    </row>
    <row r="25" spans="1:8" x14ac:dyDescent="0.25">
      <c r="A25" s="64" t="s">
        <v>307</v>
      </c>
      <c r="B25" s="165">
        <v>83188</v>
      </c>
      <c r="C25" s="62" t="e" vm="55">
        <v>#VALUE!</v>
      </c>
      <c r="D25" s="64">
        <v>200</v>
      </c>
      <c r="E25" s="64" t="s">
        <v>69</v>
      </c>
      <c r="F25" s="64" t="s">
        <v>293</v>
      </c>
      <c r="G25" s="64" t="str" cm="1">
        <f t="array" ref="G25">_FV(C25,"Currency")</f>
        <v>CNY</v>
      </c>
      <c r="H25" s="110" cm="1">
        <f t="array" ref="H25">_FV(C25,"Price")</f>
        <v>53.38</v>
      </c>
    </row>
    <row r="26" spans="1:8" x14ac:dyDescent="0.25">
      <c r="A26" s="64" t="s">
        <v>283</v>
      </c>
      <c r="B26" s="165">
        <v>1882</v>
      </c>
      <c r="C26" s="62" t="e" vm="56">
        <v>#VALUE!</v>
      </c>
      <c r="D26" s="64">
        <v>1000</v>
      </c>
      <c r="F26" s="64" t="s">
        <v>667</v>
      </c>
      <c r="G26" s="64" t="str" cm="1">
        <f t="array" ref="G26">_FV(C26,"Currency")</f>
        <v>HKD</v>
      </c>
      <c r="H26" s="108" cm="1">
        <f t="array" ref="H26">_FV(C26,"Price")</f>
        <v>27.3</v>
      </c>
    </row>
    <row r="27" spans="1:8" x14ac:dyDescent="0.25">
      <c r="A27" s="64" t="s">
        <v>283</v>
      </c>
      <c r="B27" s="165">
        <v>3900</v>
      </c>
      <c r="C27" s="62" t="e" vm="57">
        <v>#VALUE!</v>
      </c>
      <c r="D27" s="64">
        <v>500</v>
      </c>
      <c r="F27" s="64" t="s">
        <v>667</v>
      </c>
      <c r="G27" s="64" t="str" cm="1">
        <f t="array" ref="G27">_FV(C27,"Currency")</f>
        <v>HKD</v>
      </c>
      <c r="H27" s="108" cm="1">
        <f t="array" ref="H27">_FV(C27,"Price")</f>
        <v>8.9600000000000009</v>
      </c>
    </row>
  </sheetData>
  <mergeCells count="2">
    <mergeCell ref="I1:N1"/>
    <mergeCell ref="I2:J2"/>
  </mergeCells>
  <conditionalFormatting sqref="B1:B1048576">
    <cfRule type="duplicateValues" dxfId="151" priority="7"/>
  </conditionalFormatting>
  <conditionalFormatting sqref="A1:O1048576">
    <cfRule type="notContainsBlanks" dxfId="150" priority="16">
      <formula>LEN(TRIM(A1))&gt;0</formula>
    </cfRule>
  </conditionalFormatting>
  <conditionalFormatting sqref="A1:H1048576">
    <cfRule type="expression" dxfId="149" priority="8">
      <formula>$B1=$J$3</formula>
    </cfRule>
  </conditionalFormatting>
  <conditionalFormatting sqref="D1">
    <cfRule type="cellIs" dxfId="148" priority="4" operator="equal">
      <formula>"OPEN"</formula>
    </cfRule>
    <cfRule type="cellIs" dxfId="147" priority="5" operator="equal">
      <formula>"CLOSED"</formula>
    </cfRule>
  </conditionalFormatting>
  <conditionalFormatting sqref="F1:F1048576">
    <cfRule type="cellIs" dxfId="146" priority="2" operator="equal">
      <formula>"NO"</formula>
    </cfRule>
    <cfRule type="cellIs" dxfId="145" priority="3" operator="equal">
      <formula>"YES"</formula>
    </cfRule>
  </conditionalFormatting>
  <conditionalFormatting sqref="E1:E1048576">
    <cfRule type="containsText" dxfId="144" priority="1" operator="containsText" text="SIP">
      <formula>NOT(ISERROR(SEARCH("SIP",E1)))</formula>
    </cfRule>
  </conditionalFormatting>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2">
        <x14:dataValidation type="list" allowBlank="1" showInputMessage="1" showErrorMessage="1" xr:uid="{82C380A1-D30F-4B21-9828-E57429915FAF}">
          <x14:formula1>
            <xm:f>Markets!$K$42:$K$49</xm:f>
          </x14:formula1>
          <xm:sqref>A4:A27</xm:sqref>
        </x14:dataValidation>
        <x14:dataValidation type="list" allowBlank="1" showInputMessage="1" showErrorMessage="1" xr:uid="{02154029-D72A-4FAD-98AE-64A5E114EFA0}">
          <x14:formula1>
            <xm:f>Markets!$N$42:$N$44</xm:f>
          </x14:formula1>
          <xm:sqref>F4:F27</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C79386-E515-475C-8522-1EDEE91BBCD2}">
  <sheetPr codeName="IDX"/>
  <dimension ref="A1:N7"/>
  <sheetViews>
    <sheetView workbookViewId="0">
      <pane ySplit="3" topLeftCell="A4" activePane="bottomLeft" state="frozen"/>
      <selection pane="bottomLeft" activeCell="F7" sqref="F7"/>
    </sheetView>
  </sheetViews>
  <sheetFormatPr defaultColWidth="9.140625" defaultRowHeight="15" x14ac:dyDescent="0.25"/>
  <cols>
    <col min="1" max="2" width="9.140625" style="64"/>
    <col min="3" max="3" width="49.5703125" style="62" bestFit="1" customWidth="1"/>
    <col min="4" max="5" width="9.140625" style="64"/>
    <col min="6" max="6" width="9.85546875" style="64" bestFit="1" customWidth="1"/>
    <col min="7" max="7" width="9.85546875" style="64" customWidth="1"/>
    <col min="8" max="8" width="13" style="111" customWidth="1"/>
    <col min="9" max="12" width="9.140625" style="62"/>
    <col min="13" max="13" width="11" style="62" bestFit="1" customWidth="1"/>
    <col min="14" max="16384" width="9.140625" style="62"/>
  </cols>
  <sheetData>
    <row r="1" spans="1:14" x14ac:dyDescent="0.25">
      <c r="A1" s="64" t="str" cm="1">
        <f t="array" aca="1" ref="A1" ca="1">RIGHT(CELL("filename",A1),LEN(CELL("filename",A1))-SEARCH("]",CELL("filename",A1)))</f>
        <v>IDX</v>
      </c>
      <c r="B1" s="57" t="s">
        <v>30</v>
      </c>
      <c r="C1" s="54" t="s">
        <v>31</v>
      </c>
      <c r="D1" s="64" t="str">
        <f ca="1">Markets!C6</f>
        <v>CLOSED</v>
      </c>
      <c r="I1" s="219" t="s">
        <v>302</v>
      </c>
      <c r="J1" s="219"/>
      <c r="K1" s="219"/>
      <c r="L1" s="219"/>
      <c r="M1" s="219"/>
      <c r="N1" s="219"/>
    </row>
    <row r="2" spans="1:14" x14ac:dyDescent="0.25">
      <c r="B2" s="72"/>
      <c r="C2" s="73"/>
      <c r="I2" s="217" t="s">
        <v>303</v>
      </c>
      <c r="J2" s="218"/>
      <c r="K2" s="74" t="s">
        <v>287</v>
      </c>
      <c r="L2" s="74" t="s">
        <v>286</v>
      </c>
      <c r="M2" s="74" t="s">
        <v>327</v>
      </c>
      <c r="N2" s="74" t="s">
        <v>289</v>
      </c>
    </row>
    <row r="3" spans="1:14" s="75" customFormat="1" x14ac:dyDescent="0.25">
      <c r="A3" s="74" t="s">
        <v>287</v>
      </c>
      <c r="B3" s="74" t="s">
        <v>288</v>
      </c>
      <c r="C3" s="74" t="s">
        <v>289</v>
      </c>
      <c r="D3" s="74" t="s">
        <v>286</v>
      </c>
      <c r="E3" s="74" t="s">
        <v>287</v>
      </c>
      <c r="F3" s="74" t="s">
        <v>327</v>
      </c>
      <c r="G3" s="74" t="s">
        <v>661</v>
      </c>
      <c r="H3" s="112" t="s">
        <v>660</v>
      </c>
      <c r="I3" s="77" t="s">
        <v>304</v>
      </c>
      <c r="J3" s="78" t="s">
        <v>305</v>
      </c>
      <c r="K3" s="78" t="str">
        <f>INDEX(A:F,MATCH(J3,B:B,0),1) &amp; IF(ISBLANK(INDEX(A:F,MATCH(J3,B:B,0),5)),""," ("&amp;INDEX(A:F,MATCH(J3,B:B,0),5)&amp;")")</f>
        <v>STOCK</v>
      </c>
      <c r="L3" s="78">
        <f>INDEX(A:F,MATCH(J3,B:B,0),4)</f>
        <v>100</v>
      </c>
      <c r="M3" s="78" t="str">
        <f>IF(ISBLANK(INDEX(A:F,MATCH(J3,B:B,0),6)),"UNKNOWN",INDEX(A:F,MATCH(J3,B:B,0),6))</f>
        <v>YES</v>
      </c>
      <c r="N3" s="79" t="e" vm="58">
        <f>INDEX(A:F,MATCH(J3,B:B,0),3)</f>
        <v>#VALUE!</v>
      </c>
    </row>
    <row r="4" spans="1:14" x14ac:dyDescent="0.25">
      <c r="A4" s="64" t="s">
        <v>283</v>
      </c>
      <c r="B4" s="59" t="s">
        <v>93</v>
      </c>
      <c r="C4" s="55" t="e" vm="58">
        <v>#VALUE!</v>
      </c>
      <c r="D4" s="59">
        <v>100</v>
      </c>
      <c r="F4" s="64" t="s">
        <v>293</v>
      </c>
      <c r="G4" s="64" t="str" cm="1">
        <f t="array" ref="G4">_FV(C4,"Currency")</f>
        <v>IDR</v>
      </c>
      <c r="H4" s="111" cm="1">
        <f t="array" ref="H4">_FV(C4,"Price")</f>
        <v>61</v>
      </c>
    </row>
    <row r="5" spans="1:14" x14ac:dyDescent="0.25">
      <c r="A5" s="64" t="s">
        <v>283</v>
      </c>
      <c r="B5" s="59" t="s">
        <v>118</v>
      </c>
      <c r="C5" s="61" t="e" vm="59">
        <v>#VALUE!</v>
      </c>
      <c r="D5" s="59">
        <v>100</v>
      </c>
      <c r="G5" s="64" t="str" cm="1">
        <f t="array" ref="G5">_FV(C5,"Currency")</f>
        <v>IDR</v>
      </c>
      <c r="H5" s="111" cm="1">
        <f t="array" ref="H5">_FV(C5,"Price")</f>
        <v>1445</v>
      </c>
    </row>
    <row r="6" spans="1:14" x14ac:dyDescent="0.25">
      <c r="A6" s="64" t="s">
        <v>283</v>
      </c>
      <c r="B6" s="59" t="s">
        <v>186</v>
      </c>
      <c r="C6" s="63" t="e" vm="60">
        <v>#VALUE!</v>
      </c>
      <c r="D6" s="59">
        <v>100</v>
      </c>
      <c r="G6" s="64" t="str" cm="1">
        <f t="array" ref="G6">_FV(C6,"Currency")</f>
        <v>IDR</v>
      </c>
      <c r="H6" s="111" cm="1">
        <f t="array" ref="H6">_FV(C6,"Price")</f>
        <v>965</v>
      </c>
    </row>
    <row r="7" spans="1:14" x14ac:dyDescent="0.25">
      <c r="A7" s="64" t="s">
        <v>283</v>
      </c>
      <c r="B7" s="64" t="s">
        <v>372</v>
      </c>
      <c r="C7" s="62" t="e" vm="61">
        <v>#VALUE!</v>
      </c>
      <c r="D7" s="64">
        <v>100</v>
      </c>
      <c r="G7" s="64" t="str" cm="1">
        <f t="array" ref="G7">_FV(C7,"Currency")</f>
        <v>IDR</v>
      </c>
      <c r="H7" s="111" cm="1">
        <f t="array" ref="H7">_FV(C7,"Price")</f>
        <v>83</v>
      </c>
    </row>
  </sheetData>
  <mergeCells count="2">
    <mergeCell ref="I1:N1"/>
    <mergeCell ref="I2:J2"/>
  </mergeCells>
  <conditionalFormatting sqref="B1:B1048576">
    <cfRule type="duplicateValues" dxfId="143" priority="11"/>
  </conditionalFormatting>
  <conditionalFormatting sqref="A1:O3 A8:O1048576 A4:E7 G4:O7">
    <cfRule type="notContainsBlanks" dxfId="142" priority="20">
      <formula>LEN(TRIM(A1))&gt;0</formula>
    </cfRule>
  </conditionalFormatting>
  <conditionalFormatting sqref="A1:H3 A8:H1048576 A4:E7 G4:H7">
    <cfRule type="expression" dxfId="141" priority="12">
      <formula>$B1=$J$3</formula>
    </cfRule>
  </conditionalFormatting>
  <conditionalFormatting sqref="D1">
    <cfRule type="cellIs" dxfId="140" priority="8" operator="equal">
      <formula>"OPEN"</formula>
    </cfRule>
    <cfRule type="cellIs" dxfId="139" priority="9" operator="equal">
      <formula>"CLOSED"</formula>
    </cfRule>
  </conditionalFormatting>
  <conditionalFormatting sqref="F1:F3 F8:F1048576">
    <cfRule type="cellIs" dxfId="138" priority="6" operator="equal">
      <formula>"NO"</formula>
    </cfRule>
    <cfRule type="cellIs" dxfId="137" priority="7" operator="equal">
      <formula>"YES"</formula>
    </cfRule>
  </conditionalFormatting>
  <conditionalFormatting sqref="E1:E1048576">
    <cfRule type="containsText" dxfId="136" priority="5" operator="containsText" text="SIP">
      <formula>NOT(ISERROR(SEARCH("SIP",E1)))</formula>
    </cfRule>
  </conditionalFormatting>
  <conditionalFormatting sqref="F4:F7">
    <cfRule type="notContainsBlanks" dxfId="135" priority="4">
      <formula>LEN(TRIM(F4))&gt;0</formula>
    </cfRule>
  </conditionalFormatting>
  <conditionalFormatting sqref="F4:F7">
    <cfRule type="expression" dxfId="134" priority="3">
      <formula>$B4=$J$3</formula>
    </cfRule>
  </conditionalFormatting>
  <conditionalFormatting sqref="F4:F7">
    <cfRule type="cellIs" dxfId="133" priority="1" operator="equal">
      <formula>"NO"</formula>
    </cfRule>
    <cfRule type="cellIs" dxfId="132" priority="2" operator="equal">
      <formula>"YES"</formula>
    </cfRule>
  </conditionalFormatting>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C98A7080-A92D-40E1-BCE5-F6916F45CA20}">
          <x14:formula1>
            <xm:f>Markets!$K$42:$K$49</xm:f>
          </x14:formula1>
          <xm:sqref>A4:A7</xm:sqref>
        </x14:dataValidation>
        <x14:dataValidation type="list" allowBlank="1" showInputMessage="1" showErrorMessage="1" xr:uid="{86E95006-3864-43A3-A774-60D4471B24CA}">
          <x14:formula1>
            <xm:f>Markets!$N$42:$N$44</xm:f>
          </x14:formula1>
          <xm:sqref>F4:F7</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2023D0-8408-453D-8CC0-20C9C5D8B068}">
  <sheetPr codeName="LSE"/>
  <dimension ref="A1:N12"/>
  <sheetViews>
    <sheetView workbookViewId="0">
      <pane ySplit="3" topLeftCell="A4" activePane="bottomLeft" state="frozen"/>
      <selection pane="bottomLeft" activeCell="E6" sqref="E6"/>
    </sheetView>
  </sheetViews>
  <sheetFormatPr defaultColWidth="9.140625" defaultRowHeight="15" x14ac:dyDescent="0.25"/>
  <cols>
    <col min="1" max="2" width="9.140625" style="64"/>
    <col min="3" max="3" width="56.5703125" style="62" bestFit="1" customWidth="1"/>
    <col min="4" max="5" width="9.140625" style="64"/>
    <col min="6" max="6" width="9.85546875" style="64" bestFit="1" customWidth="1"/>
    <col min="7" max="7" width="9.85546875" style="64" customWidth="1"/>
    <col min="8" max="8" width="13.140625" style="106" bestFit="1" customWidth="1"/>
    <col min="9" max="10" width="9.140625" style="62"/>
    <col min="11" max="11" width="11" style="62" bestFit="1" customWidth="1"/>
    <col min="12" max="12" width="9.140625" style="62"/>
    <col min="13" max="13" width="11" style="62" bestFit="1" customWidth="1"/>
    <col min="14" max="16384" width="9.140625" style="62"/>
  </cols>
  <sheetData>
    <row r="1" spans="1:14" x14ac:dyDescent="0.25">
      <c r="A1" s="64" t="str" cm="1">
        <f t="array" aca="1" ref="A1" ca="1">RIGHT(CELL("filename",A1),LEN(CELL("filename",A1))-SEARCH("]",CELL("filename",A1)))</f>
        <v>LSE</v>
      </c>
      <c r="B1" s="57" t="s">
        <v>36</v>
      </c>
      <c r="C1" s="54" t="s">
        <v>37</v>
      </c>
      <c r="D1" s="64" t="str">
        <f ca="1">Markets!C7</f>
        <v>OPEN</v>
      </c>
      <c r="I1" s="219" t="s">
        <v>302</v>
      </c>
      <c r="J1" s="219"/>
      <c r="K1" s="219"/>
      <c r="L1" s="219"/>
      <c r="M1" s="219"/>
      <c r="N1" s="219"/>
    </row>
    <row r="2" spans="1:14" x14ac:dyDescent="0.25">
      <c r="B2" s="72"/>
      <c r="C2" s="73"/>
      <c r="I2" s="217" t="s">
        <v>303</v>
      </c>
      <c r="J2" s="218"/>
      <c r="K2" s="74" t="s">
        <v>287</v>
      </c>
      <c r="L2" s="74" t="s">
        <v>286</v>
      </c>
      <c r="M2" s="74" t="s">
        <v>327</v>
      </c>
      <c r="N2" s="74" t="s">
        <v>289</v>
      </c>
    </row>
    <row r="3" spans="1:14" s="75" customFormat="1" x14ac:dyDescent="0.25">
      <c r="A3" s="74" t="s">
        <v>287</v>
      </c>
      <c r="B3" s="74" t="s">
        <v>288</v>
      </c>
      <c r="C3" s="74" t="s">
        <v>289</v>
      </c>
      <c r="D3" s="74" t="s">
        <v>286</v>
      </c>
      <c r="E3" s="74" t="s">
        <v>287</v>
      </c>
      <c r="F3" s="74" t="s">
        <v>327</v>
      </c>
      <c r="G3" s="74" t="s">
        <v>661</v>
      </c>
      <c r="H3" s="107" t="s">
        <v>660</v>
      </c>
      <c r="I3" s="77" t="s">
        <v>304</v>
      </c>
      <c r="J3" s="78" t="s">
        <v>662</v>
      </c>
      <c r="K3" s="78" t="str">
        <f>INDEX(A:F,MATCH(J3,B:B,0),1) &amp; IF(ISBLANK(INDEX(A:F,MATCH(J3,B:B,0),5)),""," ("&amp;INDEX(A:F,MATCH(J3,B:B,0),5)&amp;")")</f>
        <v>STOCK (SIP)</v>
      </c>
      <c r="L3" s="78">
        <f>INDEX(A:F,MATCH(J3,B:B,0),4)</f>
        <v>1</v>
      </c>
      <c r="M3" s="78" t="str">
        <f>IF(ISBLANK(INDEX(A:F,MATCH(J3,B:B,0),6)),"UNKNOWN",INDEX(A:F,MATCH(J3,B:B,0),6))</f>
        <v>NO</v>
      </c>
      <c r="N3" s="79" t="e" vm="62">
        <f>INDEX(A:F,MATCH(J3,B:B,0),3)</f>
        <v>#VALUE!</v>
      </c>
    </row>
    <row r="4" spans="1:14" x14ac:dyDescent="0.25">
      <c r="A4" s="64" t="s">
        <v>283</v>
      </c>
      <c r="B4" s="67" t="s">
        <v>94</v>
      </c>
      <c r="C4" s="56" t="e" vm="63">
        <v>#VALUE!</v>
      </c>
      <c r="D4" s="64">
        <v>1</v>
      </c>
      <c r="F4" s="64" t="s">
        <v>293</v>
      </c>
      <c r="G4" s="64" t="str" cm="1">
        <f t="array" ref="G4">_FV(C4,"Currency")</f>
        <v>GBp</v>
      </c>
      <c r="H4" s="106" cm="1">
        <f t="array" ref="H4">_FV(C4,"Price")</f>
        <v>48.9</v>
      </c>
    </row>
    <row r="5" spans="1:14" x14ac:dyDescent="0.25">
      <c r="A5" s="64" t="s">
        <v>283</v>
      </c>
      <c r="B5" s="67" t="s">
        <v>95</v>
      </c>
      <c r="C5" s="56" t="e" vm="62">
        <v>#VALUE!</v>
      </c>
      <c r="D5" s="64">
        <v>1</v>
      </c>
      <c r="E5" s="64" t="s">
        <v>69</v>
      </c>
      <c r="F5" s="64" t="s">
        <v>294</v>
      </c>
      <c r="G5" s="64" t="str" cm="1">
        <f t="array" ref="G5">_FV(C5,"Currency")</f>
        <v>GBp</v>
      </c>
      <c r="H5" s="106" cm="1">
        <f t="array" ref="H5">_FV(C5,"Price")</f>
        <v>173</v>
      </c>
    </row>
    <row r="6" spans="1:14" x14ac:dyDescent="0.25">
      <c r="A6" s="64" t="s">
        <v>283</v>
      </c>
      <c r="B6" s="67" t="s">
        <v>96</v>
      </c>
      <c r="C6" s="56" t="e" vm="64">
        <v>#VALUE!</v>
      </c>
      <c r="D6" s="64">
        <v>1</v>
      </c>
      <c r="E6" s="64" t="s">
        <v>69</v>
      </c>
      <c r="F6" s="64" t="s">
        <v>293</v>
      </c>
      <c r="G6" s="64" t="str" cm="1">
        <f t="array" ref="G6">_FV(C6,"Currency")</f>
        <v>GBp</v>
      </c>
      <c r="H6" s="106" cm="1">
        <f t="array" ref="H6">_FV(C6,"Price")</f>
        <v>128.58000000000001</v>
      </c>
    </row>
    <row r="7" spans="1:14" x14ac:dyDescent="0.25">
      <c r="A7" s="64" t="s">
        <v>283</v>
      </c>
      <c r="B7" s="59" t="s">
        <v>149</v>
      </c>
      <c r="C7" s="61" t="e" vm="65">
        <v>#VALUE!</v>
      </c>
      <c r="D7" s="64">
        <v>1</v>
      </c>
      <c r="E7" s="64" t="s">
        <v>69</v>
      </c>
      <c r="F7" s="64" t="s">
        <v>294</v>
      </c>
      <c r="G7" s="64" t="str" cm="1">
        <f t="array" ref="G7">_FV(C7,"Currency")</f>
        <v>GBp</v>
      </c>
      <c r="H7" s="106" cm="1">
        <f t="array" ref="H7">_FV(C7,"Price")</f>
        <v>575.79999999999995</v>
      </c>
    </row>
    <row r="8" spans="1:14" x14ac:dyDescent="0.25">
      <c r="A8" s="64" t="s">
        <v>307</v>
      </c>
      <c r="B8" s="64" t="s">
        <v>329</v>
      </c>
      <c r="C8" s="62" t="e" vm="66">
        <v>#VALUE!</v>
      </c>
      <c r="D8" s="64">
        <v>1</v>
      </c>
      <c r="E8" s="64" t="s">
        <v>69</v>
      </c>
      <c r="F8" s="64" t="s">
        <v>294</v>
      </c>
      <c r="G8" s="64" t="str" cm="1">
        <f t="array" ref="G8">_FV(C8,"Currency")</f>
        <v>GBP</v>
      </c>
      <c r="H8" s="106" cm="1">
        <f t="array" ref="H8">_FV(C8,"Price")</f>
        <v>30.677499999999998</v>
      </c>
    </row>
    <row r="9" spans="1:14" x14ac:dyDescent="0.25">
      <c r="A9" s="64" t="s">
        <v>283</v>
      </c>
      <c r="B9" s="64" t="s">
        <v>391</v>
      </c>
      <c r="C9" s="62" t="e" vm="67">
        <v>#VALUE!</v>
      </c>
      <c r="D9" s="64">
        <v>1</v>
      </c>
      <c r="F9" s="64" t="s">
        <v>294</v>
      </c>
      <c r="G9" s="64" t="str" cm="1">
        <f t="array" ref="G9">_FV(C9,"Currency")</f>
        <v>GBp</v>
      </c>
      <c r="H9" s="106" cm="1">
        <f t="array" ref="H9">_FV(C9,"Price")</f>
        <v>8.2500000000000004E-2</v>
      </c>
    </row>
    <row r="10" spans="1:14" x14ac:dyDescent="0.25">
      <c r="A10" s="64" t="s">
        <v>283</v>
      </c>
      <c r="B10" s="64" t="s">
        <v>403</v>
      </c>
      <c r="C10" s="62" t="e" vm="68">
        <v>#VALUE!</v>
      </c>
      <c r="D10" s="64">
        <v>1</v>
      </c>
      <c r="F10" s="64" t="s">
        <v>293</v>
      </c>
      <c r="G10" s="64" t="str" cm="1">
        <f t="array" ref="G10">_FV(C10,"Currency")</f>
        <v>GBp</v>
      </c>
      <c r="H10" s="106" cm="1">
        <f t="array" ref="H10">_FV(C10,"Price")</f>
        <v>185.16</v>
      </c>
    </row>
    <row r="11" spans="1:14" x14ac:dyDescent="0.25">
      <c r="A11" s="64" t="s">
        <v>283</v>
      </c>
      <c r="B11" s="64" t="s">
        <v>404</v>
      </c>
      <c r="C11" s="62" t="e" vm="69">
        <v>#VALUE!</v>
      </c>
      <c r="D11" s="64">
        <v>1</v>
      </c>
      <c r="G11" s="64" t="str" cm="1">
        <f t="array" ref="G11">_FV(C11,"Currency")</f>
        <v>GBp</v>
      </c>
      <c r="H11" s="106" cm="1">
        <f t="array" ref="H11">_FV(C11,"Price")</f>
        <v>0.17050000000000001</v>
      </c>
    </row>
    <row r="12" spans="1:14" x14ac:dyDescent="0.25">
      <c r="A12" s="64" t="s">
        <v>283</v>
      </c>
      <c r="B12" s="64" t="s">
        <v>437</v>
      </c>
      <c r="C12" s="62" t="e" vm="70">
        <v>#VALUE!</v>
      </c>
      <c r="D12" s="64">
        <v>1</v>
      </c>
      <c r="G12" s="64" t="str" cm="1">
        <f t="array" ref="G12">_FV(C12,"Currency")</f>
        <v>GBp</v>
      </c>
      <c r="H12" s="106" cm="1">
        <f t="array" ref="H12">_FV(C12,"Price")</f>
        <v>7.4999999999999997E-2</v>
      </c>
    </row>
  </sheetData>
  <mergeCells count="2">
    <mergeCell ref="I1:N1"/>
    <mergeCell ref="I2:J2"/>
  </mergeCells>
  <conditionalFormatting sqref="B1:B1048576">
    <cfRule type="duplicateValues" dxfId="131" priority="11"/>
  </conditionalFormatting>
  <conditionalFormatting sqref="A1:O3 A13:O1048576 A4:E12 G4:O12">
    <cfRule type="notContainsBlanks" dxfId="130" priority="20">
      <formula>LEN(TRIM(A1))&gt;0</formula>
    </cfRule>
  </conditionalFormatting>
  <conditionalFormatting sqref="A1:H3 A13:H1048576 A4:E12 G4:H12">
    <cfRule type="expression" dxfId="129" priority="12">
      <formula>$B1=$J$3</formula>
    </cfRule>
  </conditionalFormatting>
  <conditionalFormatting sqref="D1">
    <cfRule type="cellIs" dxfId="128" priority="8" operator="equal">
      <formula>"OPEN"</formula>
    </cfRule>
    <cfRule type="cellIs" dxfId="127" priority="9" operator="equal">
      <formula>"CLOSED"</formula>
    </cfRule>
  </conditionalFormatting>
  <conditionalFormatting sqref="F1:F3 F13:F1048576">
    <cfRule type="cellIs" dxfId="126" priority="6" operator="equal">
      <formula>"NO"</formula>
    </cfRule>
    <cfRule type="cellIs" dxfId="125" priority="7" operator="equal">
      <formula>"YES"</formula>
    </cfRule>
  </conditionalFormatting>
  <conditionalFormatting sqref="E1:E1048576">
    <cfRule type="containsText" dxfId="124" priority="5" operator="containsText" text="SIP">
      <formula>NOT(ISERROR(SEARCH("SIP",E1)))</formula>
    </cfRule>
  </conditionalFormatting>
  <conditionalFormatting sqref="F4:F12">
    <cfRule type="notContainsBlanks" dxfId="123" priority="4">
      <formula>LEN(TRIM(F4))&gt;0</formula>
    </cfRule>
  </conditionalFormatting>
  <conditionalFormatting sqref="F4:F12">
    <cfRule type="expression" dxfId="122" priority="3">
      <formula>$B4=$J$3</formula>
    </cfRule>
  </conditionalFormatting>
  <conditionalFormatting sqref="F4:F12">
    <cfRule type="cellIs" dxfId="121" priority="1" operator="equal">
      <formula>"NO"</formula>
    </cfRule>
    <cfRule type="cellIs" dxfId="120" priority="2" operator="equal">
      <formula>"YES"</formula>
    </cfRule>
  </conditionalFormatting>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2">
        <x14:dataValidation type="list" allowBlank="1" showInputMessage="1" showErrorMessage="1" xr:uid="{BEF87FEA-08F7-464B-8CCD-BB081772D819}">
          <x14:formula1>
            <xm:f>Markets!$K$42:$K$49</xm:f>
          </x14:formula1>
          <xm:sqref>A4:A12</xm:sqref>
        </x14:dataValidation>
        <x14:dataValidation type="list" allowBlank="1" showInputMessage="1" showErrorMessage="1" xr:uid="{9E28C879-5D40-482E-984E-63327D21F6CF}">
          <x14:formula1>
            <xm:f>Markets!$N$42:$N$44</xm:f>
          </x14:formula1>
          <xm:sqref>F4:F12</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43C5A0-F0E2-42EA-880F-B124D898EEF3}">
  <sheetPr codeName="NASDAQ"/>
  <dimension ref="A1:N21"/>
  <sheetViews>
    <sheetView workbookViewId="0">
      <pane ySplit="3" topLeftCell="A4" activePane="bottomLeft" state="frozen"/>
      <selection pane="bottomLeft" activeCell="F12" sqref="F12"/>
    </sheetView>
  </sheetViews>
  <sheetFormatPr defaultColWidth="9.140625" defaultRowHeight="15" x14ac:dyDescent="0.25"/>
  <cols>
    <col min="1" max="1" width="9.140625" style="64"/>
    <col min="2" max="2" width="14.7109375" style="64" bestFit="1" customWidth="1"/>
    <col min="3" max="3" width="69.85546875" style="62" bestFit="1" customWidth="1"/>
    <col min="4" max="5" width="9.140625" style="64"/>
    <col min="6" max="6" width="9.85546875" style="64" bestFit="1" customWidth="1"/>
    <col min="7" max="7" width="9.85546875" style="64" customWidth="1"/>
    <col min="8" max="8" width="10.28515625" style="64" customWidth="1"/>
    <col min="9" max="10" width="9.140625" style="62"/>
    <col min="11" max="11" width="14.28515625" style="62" bestFit="1" customWidth="1"/>
    <col min="12" max="12" width="9.140625" style="62"/>
    <col min="13" max="13" width="11" style="62" bestFit="1" customWidth="1"/>
    <col min="14" max="16384" width="9.140625" style="62"/>
  </cols>
  <sheetData>
    <row r="1" spans="1:14" x14ac:dyDescent="0.25">
      <c r="A1" s="64" t="str" cm="1">
        <f t="array" aca="1" ref="A1" ca="1">RIGHT(CELL("filename",A1),LEN(CELL("filename",A1))-SEARCH("]",CELL("filename",A1)))</f>
        <v>NASDAQ</v>
      </c>
      <c r="B1" s="58" t="s">
        <v>39</v>
      </c>
      <c r="C1" s="5" t="s">
        <v>40</v>
      </c>
      <c r="D1" s="64" t="str">
        <f ca="1">Markets!C8</f>
        <v>CLOSED</v>
      </c>
      <c r="I1" s="219" t="s">
        <v>302</v>
      </c>
      <c r="J1" s="219"/>
      <c r="K1" s="219"/>
      <c r="L1" s="219"/>
      <c r="M1" s="219"/>
      <c r="N1" s="219"/>
    </row>
    <row r="2" spans="1:14" x14ac:dyDescent="0.25">
      <c r="B2" s="70"/>
      <c r="C2" s="71"/>
      <c r="I2" s="217" t="s">
        <v>303</v>
      </c>
      <c r="J2" s="218"/>
      <c r="K2" s="74" t="s">
        <v>287</v>
      </c>
      <c r="L2" s="74" t="s">
        <v>286</v>
      </c>
      <c r="M2" s="74" t="s">
        <v>327</v>
      </c>
      <c r="N2" s="74" t="s">
        <v>289</v>
      </c>
    </row>
    <row r="3" spans="1:14" s="75" customFormat="1" x14ac:dyDescent="0.25">
      <c r="A3" s="74" t="s">
        <v>287</v>
      </c>
      <c r="B3" s="74" t="s">
        <v>288</v>
      </c>
      <c r="C3" s="74" t="s">
        <v>289</v>
      </c>
      <c r="D3" s="74" t="s">
        <v>286</v>
      </c>
      <c r="E3" s="74" t="s">
        <v>287</v>
      </c>
      <c r="F3" s="74" t="s">
        <v>327</v>
      </c>
      <c r="G3" s="74" t="s">
        <v>661</v>
      </c>
      <c r="H3" s="74" t="s">
        <v>660</v>
      </c>
      <c r="I3" s="77" t="s">
        <v>304</v>
      </c>
      <c r="J3" s="78" t="s">
        <v>306</v>
      </c>
      <c r="K3" s="78" t="str">
        <f>INDEX(A:F,MATCH(J3,B:B,0),1) &amp; IF(ISBLANK(INDEX(A:F,MATCH(J3,B:B,0),5)),""," ("&amp;INDEX(A:F,MATCH(J3,B:B,0),5)&amp;")")</f>
        <v>ETF (SIP)</v>
      </c>
      <c r="L3" s="78">
        <f>INDEX(A:F,MATCH(J3,B:B,0),4)</f>
        <v>1</v>
      </c>
      <c r="M3" s="78" t="str">
        <f>IF(ISBLANK(INDEX(A:F,MATCH(J3,B:B,0),6)),"UNKNOWN",INDEX(A:F,MATCH(J3,B:B,0),6))</f>
        <v>UNKNOWN</v>
      </c>
      <c r="N3" s="79" t="e" vm="71">
        <f>INDEX(A:F,MATCH(J3,B:B,0),3)</f>
        <v>#VALUE!</v>
      </c>
    </row>
    <row r="4" spans="1:14" x14ac:dyDescent="0.25">
      <c r="A4" s="64" t="s">
        <v>283</v>
      </c>
      <c r="B4" s="59" t="s">
        <v>97</v>
      </c>
      <c r="C4" s="55" t="e" vm="72">
        <v>#VALUE!</v>
      </c>
      <c r="D4" s="64">
        <v>1</v>
      </c>
      <c r="F4" s="64" t="s">
        <v>293</v>
      </c>
      <c r="G4" s="64" t="str" cm="1">
        <f t="array" ref="G4">_FV(C4,"Currency")</f>
        <v>USD</v>
      </c>
      <c r="H4" s="103" cm="1">
        <f t="array" ref="H4">_FV(C4,"Price")</f>
        <v>80.89</v>
      </c>
    </row>
    <row r="5" spans="1:14" x14ac:dyDescent="0.25">
      <c r="A5" s="64" t="s">
        <v>283</v>
      </c>
      <c r="B5" s="59" t="s">
        <v>98</v>
      </c>
      <c r="C5" s="55" t="e" vm="73">
        <v>#VALUE!</v>
      </c>
      <c r="D5" s="64">
        <v>1</v>
      </c>
      <c r="G5" s="64" t="str" cm="1">
        <f t="array" ref="G5">_FV(C5,"Currency")</f>
        <v>USD</v>
      </c>
      <c r="H5" s="103" cm="1">
        <f t="array" ref="H5">_FV(C5,"Price")</f>
        <v>126.74</v>
      </c>
    </row>
    <row r="6" spans="1:14" x14ac:dyDescent="0.25">
      <c r="A6" s="64" t="s">
        <v>283</v>
      </c>
      <c r="B6" s="59" t="s">
        <v>116</v>
      </c>
      <c r="C6" s="60" t="e" vm="74">
        <v>#VALUE!</v>
      </c>
      <c r="D6" s="64">
        <v>1</v>
      </c>
      <c r="G6" s="64" t="str" cm="1">
        <f t="array" ref="G6">_FV(C6,"Currency")</f>
        <v>USD</v>
      </c>
      <c r="H6" s="103" cm="1">
        <f t="array" ref="H6">_FV(C6,"Price")</f>
        <v>333.68</v>
      </c>
    </row>
    <row r="7" spans="1:14" x14ac:dyDescent="0.25">
      <c r="A7" s="64" t="s">
        <v>283</v>
      </c>
      <c r="B7" s="59" t="s">
        <v>138</v>
      </c>
      <c r="C7" s="61" t="e" vm="75">
        <v>#VALUE!</v>
      </c>
      <c r="D7" s="64">
        <v>1</v>
      </c>
      <c r="G7" s="64" t="str" cm="1">
        <f t="array" ref="G7">_FV(C7,"Currency")</f>
        <v>USD</v>
      </c>
      <c r="H7" s="103" cm="1">
        <f t="array" ref="H7">_FV(C7,"Price")</f>
        <v>57</v>
      </c>
    </row>
    <row r="8" spans="1:14" x14ac:dyDescent="0.25">
      <c r="A8" s="64" t="s">
        <v>307</v>
      </c>
      <c r="B8" s="59" t="s">
        <v>139</v>
      </c>
      <c r="C8" s="61" t="e" vm="71">
        <v>#VALUE!</v>
      </c>
      <c r="D8" s="64">
        <v>1</v>
      </c>
      <c r="E8" s="64" t="s">
        <v>69</v>
      </c>
      <c r="G8" s="64" t="str" cm="1">
        <f t="array" ref="G8">_FV(C8,"Currency")</f>
        <v>USD</v>
      </c>
      <c r="H8" s="103" cm="1">
        <f t="array" ref="H8">_FV(C8,"Price")</f>
        <v>336.76</v>
      </c>
    </row>
    <row r="9" spans="1:14" x14ac:dyDescent="0.25">
      <c r="A9" s="64" t="s">
        <v>283</v>
      </c>
      <c r="B9" s="59" t="s">
        <v>140</v>
      </c>
      <c r="C9" s="61" t="e" vm="76">
        <v>#VALUE!</v>
      </c>
      <c r="D9" s="64">
        <v>1</v>
      </c>
      <c r="F9" s="64" t="s">
        <v>293</v>
      </c>
      <c r="G9" s="64" t="str" cm="1">
        <f t="array" ref="G9">_FV(C9,"Currency")</f>
        <v>USD</v>
      </c>
      <c r="H9" s="103" cm="1">
        <f t="array" ref="H9">_FV(C9,"Price")</f>
        <v>252.57</v>
      </c>
    </row>
    <row r="10" spans="1:14" x14ac:dyDescent="0.25">
      <c r="A10" s="64" t="s">
        <v>283</v>
      </c>
      <c r="B10" s="59" t="s">
        <v>150</v>
      </c>
      <c r="C10" s="55" t="e" vm="77">
        <v>#VALUE!</v>
      </c>
      <c r="D10" s="64">
        <v>1</v>
      </c>
      <c r="G10" s="64" t="str" cm="1">
        <f t="array" ref="G10">_FV(C10,"Currency")</f>
        <v>USD</v>
      </c>
      <c r="H10" s="103" cm="1">
        <f t="array" ref="H10">_FV(C10,"Price")</f>
        <v>395.37</v>
      </c>
    </row>
    <row r="11" spans="1:14" x14ac:dyDescent="0.25">
      <c r="A11" s="64" t="s">
        <v>283</v>
      </c>
      <c r="B11" s="59" t="s">
        <v>183</v>
      </c>
      <c r="C11" s="63" t="e" vm="78">
        <v>#VALUE!</v>
      </c>
      <c r="D11" s="64">
        <v>1</v>
      </c>
      <c r="G11" s="64" t="str" cm="1">
        <f t="array" ref="G11">_FV(C11,"Currency")</f>
        <v>USD</v>
      </c>
      <c r="H11" s="103" cm="1">
        <f t="array" ref="H11">_FV(C11,"Price")</f>
        <v>1.79</v>
      </c>
    </row>
    <row r="12" spans="1:14" x14ac:dyDescent="0.25">
      <c r="A12" s="64" t="s">
        <v>307</v>
      </c>
      <c r="B12" s="59" t="s">
        <v>184</v>
      </c>
      <c r="C12" s="63" t="e" vm="79">
        <v>#VALUE!</v>
      </c>
      <c r="D12" s="64">
        <v>1</v>
      </c>
      <c r="E12" s="64" t="s">
        <v>69</v>
      </c>
      <c r="G12" s="64" t="str" cm="1">
        <f t="array" ref="G12">_FV(C12,"Currency")</f>
        <v>USD</v>
      </c>
      <c r="H12" s="103" cm="1">
        <f t="array" ref="H12">_FV(C12,"Price")</f>
        <v>105.02</v>
      </c>
    </row>
    <row r="13" spans="1:14" x14ac:dyDescent="0.25">
      <c r="A13" s="64" t="s">
        <v>283</v>
      </c>
      <c r="B13" s="64" t="s">
        <v>368</v>
      </c>
      <c r="C13" s="62" t="e" vm="80">
        <v>#VALUE!</v>
      </c>
      <c r="D13" s="64">
        <v>1</v>
      </c>
      <c r="F13" s="64" t="s">
        <v>293</v>
      </c>
      <c r="G13" s="64" t="str" cm="1">
        <f t="array" ref="G13">_FV(C13,"Currency")</f>
        <v>USD</v>
      </c>
      <c r="H13" s="103" cm="1">
        <f t="array" ref="H13">_FV(C13,"Price")</f>
        <v>603.59</v>
      </c>
    </row>
    <row r="14" spans="1:14" x14ac:dyDescent="0.25">
      <c r="A14" s="64" t="s">
        <v>283</v>
      </c>
      <c r="B14" s="64" t="s">
        <v>409</v>
      </c>
      <c r="C14" s="62" t="e" vm="81">
        <v>#VALUE!</v>
      </c>
      <c r="D14" s="64">
        <v>1</v>
      </c>
      <c r="F14" s="64" t="s">
        <v>293</v>
      </c>
      <c r="G14" s="64" t="str" cm="1">
        <f t="array" ref="G14">_FV(C14,"Currency")</f>
        <v>USD</v>
      </c>
      <c r="H14" s="103" cm="1">
        <f t="array" ref="H14">_FV(C14,"Price")</f>
        <v>54.13</v>
      </c>
    </row>
    <row r="21" spans="2:3" x14ac:dyDescent="0.25">
      <c r="B21" s="84" t="s">
        <v>375</v>
      </c>
      <c r="C21" s="85" t="s">
        <v>376</v>
      </c>
    </row>
  </sheetData>
  <mergeCells count="2">
    <mergeCell ref="I1:N1"/>
    <mergeCell ref="I2:J2"/>
  </mergeCells>
  <conditionalFormatting sqref="B1:B1048576">
    <cfRule type="duplicateValues" dxfId="119" priority="11"/>
  </conditionalFormatting>
  <conditionalFormatting sqref="A1:O3 A15:O1048576 A4:E14 G4:O14">
    <cfRule type="notContainsBlanks" dxfId="118" priority="22">
      <formula>LEN(TRIM(A1))&gt;0</formula>
    </cfRule>
  </conditionalFormatting>
  <conditionalFormatting sqref="A1:H3 A15:H1048576 A4:E14 G4:H14">
    <cfRule type="expression" dxfId="117" priority="12">
      <formula>$B1=$J$3</formula>
    </cfRule>
  </conditionalFormatting>
  <conditionalFormatting sqref="D1">
    <cfRule type="cellIs" dxfId="116" priority="8" operator="equal">
      <formula>"OPEN"</formula>
    </cfRule>
    <cfRule type="cellIs" dxfId="115" priority="9" operator="equal">
      <formula>"CLOSED"</formula>
    </cfRule>
  </conditionalFormatting>
  <conditionalFormatting sqref="F1:F3 F15:F1048576">
    <cfRule type="cellIs" dxfId="114" priority="6" operator="equal">
      <formula>"NO"</formula>
    </cfRule>
    <cfRule type="cellIs" dxfId="113" priority="7" operator="equal">
      <formula>"YES"</formula>
    </cfRule>
  </conditionalFormatting>
  <conditionalFormatting sqref="E1:E1048576">
    <cfRule type="containsText" dxfId="112" priority="5" operator="containsText" text="SIP">
      <formula>NOT(ISERROR(SEARCH("SIP",E1)))</formula>
    </cfRule>
  </conditionalFormatting>
  <conditionalFormatting sqref="F4:F14">
    <cfRule type="notContainsBlanks" dxfId="111" priority="4">
      <formula>LEN(TRIM(F4))&gt;0</formula>
    </cfRule>
  </conditionalFormatting>
  <conditionalFormatting sqref="F4:F14">
    <cfRule type="expression" dxfId="110" priority="3">
      <formula>$B4=$J$3</formula>
    </cfRule>
  </conditionalFormatting>
  <conditionalFormatting sqref="F4:F14">
    <cfRule type="cellIs" dxfId="109" priority="1" operator="equal">
      <formula>"NO"</formula>
    </cfRule>
    <cfRule type="cellIs" dxfId="108" priority="2" operator="equal">
      <formula>"YES"</formula>
    </cfRule>
  </conditionalFormatting>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93E75E60-E030-4879-979E-057856D14D06}">
          <x14:formula1>
            <xm:f>Markets!$K$42:$K$49</xm:f>
          </x14:formula1>
          <xm:sqref>A4:A14</xm:sqref>
        </x14:dataValidation>
        <x14:dataValidation type="list" allowBlank="1" showInputMessage="1" showErrorMessage="1" xr:uid="{761B2CC8-DDA9-4CE9-9735-66E16251C035}">
          <x14:formula1>
            <xm:f>Markets!$N$42:$N$44</xm:f>
          </x14:formula1>
          <xm:sqref>F4:F14</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A0A4A8-38DE-4896-8F65-F3A3E832CD0D}">
  <sheetPr codeName="NYSE"/>
  <dimension ref="A1:N25"/>
  <sheetViews>
    <sheetView workbookViewId="0">
      <pane ySplit="3" topLeftCell="A4" activePane="bottomLeft" state="frozen"/>
      <selection pane="bottomLeft" activeCell="F25" sqref="F25"/>
    </sheetView>
  </sheetViews>
  <sheetFormatPr defaultColWidth="9.140625" defaultRowHeight="15" x14ac:dyDescent="0.25"/>
  <cols>
    <col min="1" max="1" width="9.140625" style="64"/>
    <col min="2" max="2" width="10.5703125" style="64" bestFit="1" customWidth="1"/>
    <col min="3" max="3" width="51.7109375" style="62" bestFit="1" customWidth="1"/>
    <col min="4" max="5" width="9.140625" style="64"/>
    <col min="6" max="6" width="9.85546875" style="64" bestFit="1" customWidth="1"/>
    <col min="7" max="7" width="9.85546875" style="64" customWidth="1"/>
    <col min="8" max="8" width="9.140625" style="64"/>
    <col min="9" max="12" width="9.140625" style="62"/>
    <col min="13" max="13" width="11" style="62" bestFit="1" customWidth="1"/>
    <col min="14" max="16384" width="9.140625" style="62"/>
  </cols>
  <sheetData>
    <row r="1" spans="1:14" x14ac:dyDescent="0.25">
      <c r="A1" s="64" t="str" cm="1">
        <f t="array" aca="1" ref="A1" ca="1">RIGHT(CELL("filename",A1),LEN(CELL("filename",A1))-SEARCH("]",CELL("filename",A1)))</f>
        <v>NYSE</v>
      </c>
      <c r="B1" s="57" t="s">
        <v>42</v>
      </c>
      <c r="C1" s="54" t="s">
        <v>43</v>
      </c>
      <c r="D1" s="64" t="str">
        <f ca="1">Markets!C9</f>
        <v>CLOSED</v>
      </c>
      <c r="I1" s="219" t="s">
        <v>302</v>
      </c>
      <c r="J1" s="219"/>
      <c r="K1" s="219"/>
      <c r="L1" s="219"/>
      <c r="M1" s="219"/>
      <c r="N1" s="219"/>
    </row>
    <row r="2" spans="1:14" x14ac:dyDescent="0.25">
      <c r="B2" s="72"/>
      <c r="C2" s="73"/>
      <c r="I2" s="217" t="s">
        <v>303</v>
      </c>
      <c r="J2" s="218"/>
      <c r="K2" s="74" t="s">
        <v>287</v>
      </c>
      <c r="L2" s="74" t="s">
        <v>286</v>
      </c>
      <c r="M2" s="74" t="s">
        <v>327</v>
      </c>
      <c r="N2" s="74" t="s">
        <v>289</v>
      </c>
    </row>
    <row r="3" spans="1:14" s="75" customFormat="1" x14ac:dyDescent="0.25">
      <c r="A3" s="74" t="s">
        <v>287</v>
      </c>
      <c r="B3" s="74" t="s">
        <v>288</v>
      </c>
      <c r="C3" s="74" t="s">
        <v>289</v>
      </c>
      <c r="D3" s="74" t="s">
        <v>286</v>
      </c>
      <c r="E3" s="74" t="s">
        <v>287</v>
      </c>
      <c r="F3" s="74" t="s">
        <v>327</v>
      </c>
      <c r="G3" s="74" t="s">
        <v>661</v>
      </c>
      <c r="H3" s="74" t="s">
        <v>660</v>
      </c>
      <c r="I3" s="77" t="s">
        <v>304</v>
      </c>
      <c r="J3" s="78" t="s">
        <v>99</v>
      </c>
      <c r="K3" s="78" t="str">
        <f>INDEX(A:F,MATCH(J3,B:B,0),1) &amp; IF(ISBLANK(INDEX(A:F,MATCH(J3,B:B,0),5)),""," ("&amp;INDEX(A:F,MATCH(J3,B:B,0),5)&amp;")")</f>
        <v>STOCK</v>
      </c>
      <c r="L3" s="78">
        <f>INDEX(A:F,MATCH(J3,B:B,0),4)</f>
        <v>1</v>
      </c>
      <c r="M3" s="78" t="str">
        <f>IF(ISBLANK(INDEX(A:F,MATCH(J3,B:B,0),6)),"UNKNOWN",INDEX(A:F,MATCH(J3,B:B,0),6))</f>
        <v>UNKNOWN</v>
      </c>
      <c r="N3" s="79" t="e" vm="82">
        <f>INDEX(A:F,MATCH(J3,B:B,0),3)</f>
        <v>#VALUE!</v>
      </c>
    </row>
    <row r="4" spans="1:14" x14ac:dyDescent="0.25">
      <c r="A4" s="64" t="s">
        <v>283</v>
      </c>
      <c r="B4" s="59" t="s">
        <v>99</v>
      </c>
      <c r="C4" s="56" t="e" vm="82">
        <v>#VALUE!</v>
      </c>
      <c r="D4" s="64">
        <v>1</v>
      </c>
      <c r="G4" s="64" t="str" cm="1">
        <f t="array" ref="G4">_FV(C4,"Currency")</f>
        <v>USD</v>
      </c>
      <c r="H4" s="103" cm="1">
        <f t="array" ref="H4">_FV(C4,"Price")</f>
        <v>15.63</v>
      </c>
    </row>
    <row r="5" spans="1:14" x14ac:dyDescent="0.25">
      <c r="A5" s="64" t="s">
        <v>283</v>
      </c>
      <c r="B5" s="59" t="s">
        <v>120</v>
      </c>
      <c r="C5" s="61" t="e" vm="83">
        <v>#VALUE!</v>
      </c>
      <c r="D5" s="64">
        <v>1</v>
      </c>
      <c r="G5" s="64" t="str" cm="1">
        <f t="array" ref="G5">_FV(C5,"Currency")</f>
        <v>USD</v>
      </c>
      <c r="H5" s="103" cm="1">
        <f t="array" ref="H5">_FV(C5,"Price")</f>
        <v>13.62</v>
      </c>
    </row>
    <row r="6" spans="1:14" x14ac:dyDescent="0.25">
      <c r="A6" s="64" t="s">
        <v>283</v>
      </c>
      <c r="B6" s="59" t="s">
        <v>121</v>
      </c>
      <c r="C6" s="61" t="e" vm="84">
        <v>#VALUE!</v>
      </c>
      <c r="D6" s="64">
        <v>1</v>
      </c>
      <c r="G6" s="64" t="str" cm="1">
        <f t="array" ref="G6">_FV(C6,"Currency")</f>
        <v>USD</v>
      </c>
      <c r="H6" s="103" cm="1">
        <f t="array" ref="H6">_FV(C6,"Price")</f>
        <v>11.05</v>
      </c>
    </row>
    <row r="7" spans="1:14" x14ac:dyDescent="0.25">
      <c r="A7" s="64" t="s">
        <v>283</v>
      </c>
      <c r="B7" s="59" t="s">
        <v>127</v>
      </c>
      <c r="C7" s="61" t="e" vm="85">
        <v>#VALUE!</v>
      </c>
      <c r="D7" s="64">
        <v>1</v>
      </c>
      <c r="G7" s="64" t="str" cm="1">
        <f t="array" ref="G7">_FV(C7,"Currency")</f>
        <v>USD</v>
      </c>
      <c r="H7" s="103" cm="1">
        <f t="array" ref="H7">_FV(C7,"Price")</f>
        <v>42.88</v>
      </c>
    </row>
    <row r="8" spans="1:14" x14ac:dyDescent="0.25">
      <c r="A8" s="64" t="s">
        <v>283</v>
      </c>
      <c r="B8" s="59" t="s">
        <v>131</v>
      </c>
      <c r="C8" s="61" t="e" vm="86">
        <v>#VALUE!</v>
      </c>
      <c r="D8" s="64">
        <v>1</v>
      </c>
      <c r="G8" s="64" t="str" cm="1">
        <f t="array" ref="G8">_FV(C8,"Currency")</f>
        <v>USD</v>
      </c>
      <c r="H8" s="103" cm="1">
        <f t="array" ref="H8">_FV(C8,"Price")</f>
        <v>215.82</v>
      </c>
    </row>
    <row r="9" spans="1:14" x14ac:dyDescent="0.25">
      <c r="A9" s="64" t="s">
        <v>283</v>
      </c>
      <c r="B9" s="59" t="s">
        <v>67</v>
      </c>
      <c r="C9" s="61" t="e" vm="87">
        <v>#VALUE!</v>
      </c>
      <c r="D9" s="64">
        <v>1</v>
      </c>
      <c r="G9" s="64" t="str" cm="1">
        <f t="array" ref="G9">_FV(C9,"Currency")</f>
        <v>USD</v>
      </c>
      <c r="H9" s="103" cm="1">
        <f t="array" ref="H9">_FV(C9,"Price")</f>
        <v>79.08</v>
      </c>
    </row>
    <row r="10" spans="1:14" x14ac:dyDescent="0.25">
      <c r="A10" s="64" t="s">
        <v>283</v>
      </c>
      <c r="B10" s="59" t="s">
        <v>137</v>
      </c>
      <c r="C10" s="61" t="e" vm="88">
        <v>#VALUE!</v>
      </c>
      <c r="D10" s="64">
        <v>1</v>
      </c>
      <c r="G10" s="64" t="str" cm="1">
        <f t="array" ref="G10">_FV(C10,"Currency")</f>
        <v>USD</v>
      </c>
      <c r="H10" s="103" cm="1">
        <f t="array" ref="H10">_FV(C10,"Price")</f>
        <v>43.56</v>
      </c>
    </row>
    <row r="11" spans="1:14" x14ac:dyDescent="0.25">
      <c r="A11" s="64" t="s">
        <v>283</v>
      </c>
      <c r="B11" s="59" t="s">
        <v>147</v>
      </c>
      <c r="C11" s="61" t="e" vm="89">
        <v>#VALUE!</v>
      </c>
      <c r="D11" s="64">
        <v>1</v>
      </c>
      <c r="G11" s="64" t="str" cm="1">
        <f t="array" ref="G11">_FV(C11,"Currency")</f>
        <v>USD</v>
      </c>
      <c r="H11" s="103" cm="1">
        <f t="array" ref="H11">_FV(C11,"Price")</f>
        <v>3.02</v>
      </c>
    </row>
    <row r="12" spans="1:14" x14ac:dyDescent="0.25">
      <c r="A12" s="64" t="s">
        <v>283</v>
      </c>
      <c r="B12" s="59" t="s">
        <v>148</v>
      </c>
      <c r="C12" s="61" t="e" vm="90">
        <v>#VALUE!</v>
      </c>
      <c r="D12" s="64">
        <v>1</v>
      </c>
      <c r="F12" s="64" t="s">
        <v>293</v>
      </c>
      <c r="G12" s="64" t="str" cm="1">
        <f t="array" ref="G12">_FV(C12,"Currency")</f>
        <v>USD</v>
      </c>
      <c r="H12" s="103" cm="1">
        <f t="array" ref="H12">_FV(C12,"Price")</f>
        <v>38.85</v>
      </c>
    </row>
    <row r="13" spans="1:14" x14ac:dyDescent="0.25">
      <c r="A13" s="64" t="s">
        <v>283</v>
      </c>
      <c r="B13" s="59" t="s">
        <v>169</v>
      </c>
      <c r="C13" s="55" t="e" vm="91">
        <v>#VALUE!</v>
      </c>
      <c r="D13" s="64">
        <v>1</v>
      </c>
      <c r="G13" s="64" t="str" cm="1">
        <f t="array" ref="G13">_FV(C13,"Currency")</f>
        <v>USD</v>
      </c>
      <c r="H13" s="103" cm="1">
        <f t="array" ref="H13">_FV(C13,"Price")</f>
        <v>210.24</v>
      </c>
    </row>
    <row r="14" spans="1:14" x14ac:dyDescent="0.25">
      <c r="A14" s="64" t="s">
        <v>283</v>
      </c>
      <c r="B14" s="59" t="s">
        <v>185</v>
      </c>
      <c r="C14" s="63" t="e" vm="92">
        <v>#VALUE!</v>
      </c>
      <c r="D14" s="64">
        <v>1</v>
      </c>
      <c r="G14" s="64" t="str" cm="1">
        <f t="array" ref="G14">_FV(C14,"Currency")</f>
        <v>USD</v>
      </c>
      <c r="H14" s="103" cm="1">
        <f t="array" ref="H14">_FV(C14,"Price")</f>
        <v>44.03</v>
      </c>
    </row>
    <row r="15" spans="1:14" x14ac:dyDescent="0.25">
      <c r="A15" s="64" t="s">
        <v>307</v>
      </c>
      <c r="B15" s="59" t="s">
        <v>264</v>
      </c>
      <c r="C15" s="63" t="e" vm="93">
        <v>#VALUE!</v>
      </c>
      <c r="D15" s="64">
        <v>1</v>
      </c>
      <c r="E15" s="64" t="s">
        <v>69</v>
      </c>
      <c r="G15" s="64" t="str" cm="1">
        <f t="array" ref="G15">_FV(C15,"Currency")</f>
        <v>USD</v>
      </c>
      <c r="H15" s="103" t="e" cm="1" vm="94">
        <f t="array" ref="H15">_FV(C15,"Price")</f>
        <v>#VALUE!</v>
      </c>
    </row>
    <row r="16" spans="1:14" x14ac:dyDescent="0.25">
      <c r="A16" s="64" t="s">
        <v>283</v>
      </c>
      <c r="B16" s="64" t="s">
        <v>328</v>
      </c>
      <c r="C16" s="62" t="e" vm="95">
        <v>#VALUE!</v>
      </c>
      <c r="D16" s="64">
        <v>1</v>
      </c>
      <c r="G16" s="64" t="str" cm="1">
        <f t="array" ref="G16">_FV(C16,"Currency")</f>
        <v>USD</v>
      </c>
      <c r="H16" s="103" cm="1">
        <f t="array" ref="H16">_FV(C16,"Price")</f>
        <v>46.61</v>
      </c>
    </row>
    <row r="17" spans="1:8" x14ac:dyDescent="0.25">
      <c r="A17" s="64" t="s">
        <v>283</v>
      </c>
      <c r="B17" s="64" t="s">
        <v>387</v>
      </c>
      <c r="C17" s="62" t="e" vm="96">
        <v>#VALUE!</v>
      </c>
      <c r="D17" s="64">
        <v>1</v>
      </c>
      <c r="F17" s="64" t="s">
        <v>293</v>
      </c>
      <c r="G17" s="64" t="str" cm="1">
        <f t="array" ref="G17">_FV(C17,"Currency")</f>
        <v>USD</v>
      </c>
      <c r="H17" s="103" cm="1">
        <f t="array" ref="H17">_FV(C17,"Price")</f>
        <v>58.81</v>
      </c>
    </row>
    <row r="18" spans="1:8" x14ac:dyDescent="0.25">
      <c r="A18" s="64" t="s">
        <v>283</v>
      </c>
      <c r="B18" s="64" t="s">
        <v>400</v>
      </c>
      <c r="C18" s="62" t="e" vm="97">
        <v>#VALUE!</v>
      </c>
      <c r="D18" s="64">
        <v>1</v>
      </c>
      <c r="G18" s="64" t="str" cm="1">
        <f t="array" ref="G18">_FV(C18,"Currency")</f>
        <v>USD</v>
      </c>
      <c r="H18" s="103" cm="1">
        <f t="array" ref="H18">_FV(C18,"Price")</f>
        <v>13.9</v>
      </c>
    </row>
    <row r="19" spans="1:8" x14ac:dyDescent="0.25">
      <c r="A19" s="64" t="s">
        <v>283</v>
      </c>
      <c r="B19" s="64" t="s">
        <v>401</v>
      </c>
      <c r="C19" s="62" t="e" vm="98">
        <v>#VALUE!</v>
      </c>
      <c r="D19" s="64">
        <v>1</v>
      </c>
      <c r="F19" s="64" t="s">
        <v>293</v>
      </c>
      <c r="G19" s="64" t="str" cm="1">
        <f t="array" ref="G19">_FV(C19,"Currency")</f>
        <v>USD</v>
      </c>
      <c r="H19" s="103" cm="1">
        <f t="array" ref="H19">_FV(C19,"Price")</f>
        <v>22.74</v>
      </c>
    </row>
    <row r="20" spans="1:8" x14ac:dyDescent="0.25">
      <c r="A20" s="64" t="s">
        <v>283</v>
      </c>
      <c r="B20" s="64" t="s">
        <v>410</v>
      </c>
      <c r="C20" s="62" t="e" vm="99">
        <v>#VALUE!</v>
      </c>
      <c r="D20" s="64">
        <v>1</v>
      </c>
      <c r="G20" s="64" t="str" cm="1">
        <f t="array" ref="G20">_FV(C20,"Currency")</f>
        <v>USD</v>
      </c>
      <c r="H20" s="103" cm="1">
        <f t="array" ref="H20">_FV(C20,"Price")</f>
        <v>13.59</v>
      </c>
    </row>
    <row r="21" spans="1:8" x14ac:dyDescent="0.25">
      <c r="A21" s="64" t="s">
        <v>283</v>
      </c>
      <c r="B21" s="64" t="s">
        <v>411</v>
      </c>
      <c r="C21" s="62" t="e" vm="100">
        <v>#VALUE!</v>
      </c>
      <c r="D21" s="64">
        <v>1</v>
      </c>
      <c r="G21" s="64" t="str" cm="1">
        <f t="array" ref="G21">_FV(C21,"Currency")</f>
        <v>USD</v>
      </c>
      <c r="H21" s="103" cm="1">
        <f t="array" ref="H21">_FV(C21,"Price")</f>
        <v>23.12</v>
      </c>
    </row>
    <row r="22" spans="1:8" x14ac:dyDescent="0.25">
      <c r="A22" s="64" t="s">
        <v>283</v>
      </c>
      <c r="B22" s="64" t="s">
        <v>414</v>
      </c>
      <c r="C22" s="62" t="e" vm="101">
        <v>#VALUE!</v>
      </c>
      <c r="D22" s="64">
        <v>1</v>
      </c>
      <c r="G22" s="64" t="str" cm="1">
        <f t="array" ref="G22">_FV(C22,"Currency")</f>
        <v>USD</v>
      </c>
      <c r="H22" s="103" cm="1">
        <f t="array" ref="H22">_FV(C22,"Price")</f>
        <v>60.15</v>
      </c>
    </row>
    <row r="23" spans="1:8" x14ac:dyDescent="0.25">
      <c r="A23" s="64" t="s">
        <v>283</v>
      </c>
      <c r="B23" s="64" t="s">
        <v>421</v>
      </c>
      <c r="C23" s="62" t="e" vm="102">
        <v>#VALUE!</v>
      </c>
      <c r="D23" s="64">
        <v>1</v>
      </c>
      <c r="G23" s="64" t="str" cm="1">
        <f t="array" ref="G23">_FV(C23,"Currency")</f>
        <v>USD</v>
      </c>
      <c r="H23" s="103" cm="1">
        <f t="array" ref="H23">_FV(C23,"Price")</f>
        <v>57.15</v>
      </c>
    </row>
    <row r="24" spans="1:8" x14ac:dyDescent="0.25">
      <c r="A24" s="64" t="s">
        <v>283</v>
      </c>
      <c r="B24" s="64" t="s">
        <v>422</v>
      </c>
      <c r="C24" s="62" t="e" vm="103">
        <v>#VALUE!</v>
      </c>
      <c r="D24" s="64">
        <v>1</v>
      </c>
      <c r="G24" s="64" t="str" cm="1">
        <f t="array" ref="G24">_FV(C24,"Currency")</f>
        <v>USD</v>
      </c>
      <c r="H24" s="103" cm="1">
        <f t="array" ref="H24">_FV(C24,"Price")</f>
        <v>21.88</v>
      </c>
    </row>
    <row r="25" spans="1:8" x14ac:dyDescent="0.25">
      <c r="A25" s="64" t="s">
        <v>283</v>
      </c>
      <c r="B25" s="64" t="s">
        <v>423</v>
      </c>
      <c r="C25" s="62" t="e" vm="104">
        <v>#VALUE!</v>
      </c>
      <c r="D25" s="64">
        <v>1</v>
      </c>
      <c r="G25" s="64" t="str" cm="1">
        <f t="array" ref="G25">_FV(C25,"Currency")</f>
        <v>USD</v>
      </c>
      <c r="H25" s="103" cm="1">
        <f t="array" ref="H25">_FV(C25,"Price")</f>
        <v>15.29</v>
      </c>
    </row>
  </sheetData>
  <mergeCells count="2">
    <mergeCell ref="I1:N1"/>
    <mergeCell ref="I2:J2"/>
  </mergeCells>
  <conditionalFormatting sqref="B1:B1048576">
    <cfRule type="duplicateValues" dxfId="107" priority="11"/>
  </conditionalFormatting>
  <conditionalFormatting sqref="A1:O3 A26:O1048576 A4:E25 G4:O25">
    <cfRule type="notContainsBlanks" dxfId="106" priority="42">
      <formula>LEN(TRIM(A1))&gt;0</formula>
    </cfRule>
  </conditionalFormatting>
  <conditionalFormatting sqref="A1:H3 A26:H1048576 A4:E25 G4:H25">
    <cfRule type="expression" dxfId="105" priority="12">
      <formula>$B1=$J$3</formula>
    </cfRule>
  </conditionalFormatting>
  <conditionalFormatting sqref="D1">
    <cfRule type="cellIs" dxfId="104" priority="8" operator="equal">
      <formula>"OPEN"</formula>
    </cfRule>
    <cfRule type="cellIs" dxfId="103" priority="9" operator="equal">
      <formula>"CLOSED"</formula>
    </cfRule>
  </conditionalFormatting>
  <conditionalFormatting sqref="F1:F3 F26:F1048576">
    <cfRule type="cellIs" dxfId="102" priority="6" operator="equal">
      <formula>"NO"</formula>
    </cfRule>
    <cfRule type="cellIs" dxfId="101" priority="7" operator="equal">
      <formula>"YES"</formula>
    </cfRule>
  </conditionalFormatting>
  <conditionalFormatting sqref="E1:E1048576">
    <cfRule type="containsText" dxfId="100" priority="5" operator="containsText" text="SIP">
      <formula>NOT(ISERROR(SEARCH("SIP",E1)))</formula>
    </cfRule>
  </conditionalFormatting>
  <conditionalFormatting sqref="F4:F25">
    <cfRule type="notContainsBlanks" dxfId="99" priority="4">
      <formula>LEN(TRIM(F4))&gt;0</formula>
    </cfRule>
  </conditionalFormatting>
  <conditionalFormatting sqref="F4:F25">
    <cfRule type="expression" dxfId="98" priority="3">
      <formula>$B4=$J$3</formula>
    </cfRule>
  </conditionalFormatting>
  <conditionalFormatting sqref="F4:F25">
    <cfRule type="cellIs" dxfId="97" priority="1" operator="equal">
      <formula>"NO"</formula>
    </cfRule>
    <cfRule type="cellIs" dxfId="96" priority="2" operator="equal">
      <formula>"YES"</formula>
    </cfRule>
  </conditionalFormatting>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72084EB9-071B-4CDB-AE75-FCC8B58A4529}">
          <x14:formula1>
            <xm:f>Markets!$K$42:$K$49</xm:f>
          </x14:formula1>
          <xm:sqref>A4:A25</xm:sqref>
        </x14:dataValidation>
        <x14:dataValidation type="list" allowBlank="1" showInputMessage="1" showErrorMessage="1" xr:uid="{01F11B39-DBD6-46ED-9767-709E93DD67B8}">
          <x14:formula1>
            <xm:f>Markets!$N$42:$N$44</xm:f>
          </x14:formula1>
          <xm:sqref>F4:F25</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F91578-001A-45CC-9A10-49E4A6CD3108}">
  <sheetPr codeName="PHS"/>
  <dimension ref="A1:N7"/>
  <sheetViews>
    <sheetView workbookViewId="0">
      <pane ySplit="3" topLeftCell="A4" activePane="bottomLeft" state="frozen"/>
      <selection pane="bottomLeft" activeCell="F7" sqref="F7"/>
    </sheetView>
  </sheetViews>
  <sheetFormatPr defaultColWidth="9.140625" defaultRowHeight="15" x14ac:dyDescent="0.25"/>
  <cols>
    <col min="1" max="2" width="9.140625" style="64"/>
    <col min="3" max="3" width="55.28515625" style="62" bestFit="1" customWidth="1"/>
    <col min="4" max="5" width="9.140625" style="64"/>
    <col min="6" max="6" width="9.85546875" style="64" bestFit="1" customWidth="1"/>
    <col min="7" max="7" width="9.85546875" style="64" customWidth="1"/>
    <col min="8" max="8" width="9.140625" style="64"/>
    <col min="9" max="10" width="9.140625" style="62"/>
    <col min="11" max="11" width="11.28515625" style="62" bestFit="1" customWidth="1"/>
    <col min="12" max="12" width="9.140625" style="62"/>
    <col min="13" max="13" width="11" style="62" bestFit="1" customWidth="1"/>
    <col min="14" max="16384" width="9.140625" style="62"/>
  </cols>
  <sheetData>
    <row r="1" spans="1:14" x14ac:dyDescent="0.25">
      <c r="A1" s="64" t="str" cm="1">
        <f t="array" aca="1" ref="A1" ca="1">RIGHT(CELL("filename",A1),LEN(CELL("filename",A1))-SEARCH("]",CELL("filename",A1)))</f>
        <v>PHS</v>
      </c>
      <c r="B1" s="58" t="s">
        <v>45</v>
      </c>
      <c r="C1" s="5" t="s">
        <v>46</v>
      </c>
      <c r="D1" s="64" t="str">
        <f ca="1">Markets!C10</f>
        <v>CLOSED</v>
      </c>
      <c r="I1" s="219" t="s">
        <v>302</v>
      </c>
      <c r="J1" s="219"/>
      <c r="K1" s="219"/>
      <c r="L1" s="219"/>
      <c r="M1" s="219"/>
      <c r="N1" s="219"/>
    </row>
    <row r="2" spans="1:14" x14ac:dyDescent="0.25">
      <c r="B2" s="70"/>
      <c r="C2" s="71"/>
      <c r="I2" s="217" t="s">
        <v>303</v>
      </c>
      <c r="J2" s="218"/>
      <c r="K2" s="74" t="s">
        <v>287</v>
      </c>
      <c r="L2" s="74" t="s">
        <v>286</v>
      </c>
      <c r="M2" s="74" t="s">
        <v>327</v>
      </c>
      <c r="N2" s="74" t="s">
        <v>289</v>
      </c>
    </row>
    <row r="3" spans="1:14" s="75" customFormat="1" x14ac:dyDescent="0.25">
      <c r="A3" s="74" t="s">
        <v>287</v>
      </c>
      <c r="B3" s="74" t="s">
        <v>288</v>
      </c>
      <c r="C3" s="74" t="s">
        <v>289</v>
      </c>
      <c r="D3" s="74" t="s">
        <v>286</v>
      </c>
      <c r="E3" s="74" t="s">
        <v>287</v>
      </c>
      <c r="F3" s="74" t="s">
        <v>327</v>
      </c>
      <c r="G3" s="74" t="s">
        <v>661</v>
      </c>
      <c r="H3" s="74" t="s">
        <v>660</v>
      </c>
      <c r="I3" s="77" t="s">
        <v>304</v>
      </c>
      <c r="J3" s="78" t="s">
        <v>309</v>
      </c>
      <c r="K3" s="78" t="str">
        <f>INDEX(A:F,MATCH(J3,B:B,0),1) &amp; IF(ISBLANK(INDEX(A:F,MATCH(J3,B:B,0),5)),""," ("&amp;INDEX(A:F,MATCH(J3,B:B,0),5)&amp;")")</f>
        <v>STOCK (SIP)</v>
      </c>
      <c r="L3" s="78">
        <f>INDEX(A:F,MATCH(J3,B:B,0),4)</f>
        <v>1000</v>
      </c>
      <c r="M3" s="78" t="str">
        <f>IF(ISBLANK(INDEX(A:F,MATCH(J3,B:B,0),6)),"UNKNOWN",INDEX(A:F,MATCH(J3,B:B,0),6))</f>
        <v>UNKNOWN</v>
      </c>
      <c r="N3" s="79" t="e" vm="105">
        <f>INDEX(A:F,MATCH(J3,B:B,0),3)</f>
        <v>#VALUE!</v>
      </c>
    </row>
    <row r="4" spans="1:14" x14ac:dyDescent="0.25">
      <c r="A4" s="64" t="s">
        <v>283</v>
      </c>
      <c r="B4" s="59" t="s">
        <v>100</v>
      </c>
      <c r="C4" s="55" t="e" vm="106">
        <v>#VALUE!</v>
      </c>
      <c r="D4" s="64">
        <v>10000</v>
      </c>
      <c r="G4" s="64" t="str" cm="1">
        <f t="array" ref="G4">_FV(C4,"Currency")</f>
        <v>PHP</v>
      </c>
      <c r="H4" s="104" cm="1">
        <f t="array" ref="H4">_FV(C4,"Price")</f>
        <v>0.182</v>
      </c>
    </row>
    <row r="5" spans="1:14" x14ac:dyDescent="0.25">
      <c r="A5" s="64" t="s">
        <v>283</v>
      </c>
      <c r="B5" s="59" t="s">
        <v>122</v>
      </c>
      <c r="C5" s="61" t="e" vm="107">
        <v>#VALUE!</v>
      </c>
      <c r="D5" s="64">
        <v>100</v>
      </c>
      <c r="F5" s="64" t="s">
        <v>293</v>
      </c>
      <c r="G5" s="64" t="str" cm="1">
        <f t="array" ref="G5">_FV(C5,"Currency")</f>
        <v>PHP</v>
      </c>
      <c r="H5" s="104" cm="1">
        <f t="array" ref="H5">_FV(C5,"Price")</f>
        <v>38.1</v>
      </c>
    </row>
    <row r="6" spans="1:14" x14ac:dyDescent="0.25">
      <c r="A6" s="64" t="s">
        <v>283</v>
      </c>
      <c r="B6" s="59" t="s">
        <v>145</v>
      </c>
      <c r="C6" s="61" t="e" vm="105">
        <v>#VALUE!</v>
      </c>
      <c r="D6" s="64">
        <v>1000</v>
      </c>
      <c r="E6" s="64" t="s">
        <v>69</v>
      </c>
      <c r="G6" s="64" t="str" cm="1">
        <f t="array" ref="G6">_FV(C6,"Currency")</f>
        <v>PHP</v>
      </c>
      <c r="H6" s="104" cm="1">
        <f t="array" ref="H6">_FV(C6,"Price")</f>
        <v>4.1100000000000003</v>
      </c>
    </row>
    <row r="7" spans="1:14" x14ac:dyDescent="0.25">
      <c r="A7" s="64" t="s">
        <v>283</v>
      </c>
      <c r="B7" s="64" t="s">
        <v>361</v>
      </c>
      <c r="C7" s="62" t="e" vm="108">
        <v>#VALUE!</v>
      </c>
      <c r="D7" s="64">
        <v>1000</v>
      </c>
      <c r="G7" s="64" t="str" cm="1">
        <f t="array" ref="G7">_FV(C7,"Currency")</f>
        <v>PHP</v>
      </c>
      <c r="H7" s="104" cm="1">
        <f t="array" ref="H7">_FV(C7,"Price")</f>
        <v>0.98</v>
      </c>
    </row>
  </sheetData>
  <mergeCells count="2">
    <mergeCell ref="I1:N1"/>
    <mergeCell ref="I2:J2"/>
  </mergeCells>
  <conditionalFormatting sqref="B1:B1048576">
    <cfRule type="duplicateValues" dxfId="95" priority="11"/>
  </conditionalFormatting>
  <conditionalFormatting sqref="A1:O3 A8:O1048576 A4:E7 G4:O7">
    <cfRule type="notContainsBlanks" dxfId="94" priority="22">
      <formula>LEN(TRIM(A1))&gt;0</formula>
    </cfRule>
  </conditionalFormatting>
  <conditionalFormatting sqref="A1:H3 A8:H1048576 A4:E7 G4:H7">
    <cfRule type="expression" dxfId="93" priority="12">
      <formula>$B1=$J$3</formula>
    </cfRule>
  </conditionalFormatting>
  <conditionalFormatting sqref="D1">
    <cfRule type="cellIs" dxfId="92" priority="8" operator="equal">
      <formula>"OPEN"</formula>
    </cfRule>
    <cfRule type="cellIs" dxfId="91" priority="9" operator="equal">
      <formula>"CLOSED"</formula>
    </cfRule>
  </conditionalFormatting>
  <conditionalFormatting sqref="F1:F3 F8:F1048576">
    <cfRule type="cellIs" dxfId="90" priority="6" operator="equal">
      <formula>"NO"</formula>
    </cfRule>
    <cfRule type="cellIs" dxfId="89" priority="7" operator="equal">
      <formula>"YES"</formula>
    </cfRule>
  </conditionalFormatting>
  <conditionalFormatting sqref="E1:E1048576">
    <cfRule type="containsText" dxfId="88" priority="5" operator="containsText" text="SIP">
      <formula>NOT(ISERROR(SEARCH("SIP",E1)))</formula>
    </cfRule>
  </conditionalFormatting>
  <conditionalFormatting sqref="F4:F7">
    <cfRule type="notContainsBlanks" dxfId="87" priority="4">
      <formula>LEN(TRIM(F4))&gt;0</formula>
    </cfRule>
  </conditionalFormatting>
  <conditionalFormatting sqref="F4:F7">
    <cfRule type="expression" dxfId="86" priority="3">
      <formula>$B4=$J$3</formula>
    </cfRule>
  </conditionalFormatting>
  <conditionalFormatting sqref="F4:F7">
    <cfRule type="cellIs" dxfId="85" priority="1" operator="equal">
      <formula>"NO"</formula>
    </cfRule>
    <cfRule type="cellIs" dxfId="84" priority="2" operator="equal">
      <formula>"YES"</formula>
    </cfRule>
  </conditionalFormatting>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33F9C283-7E51-48F0-A640-BF8D4ECC0973}">
          <x14:formula1>
            <xm:f>Markets!$K$42:$K$49</xm:f>
          </x14:formula1>
          <xm:sqref>A4:A7</xm:sqref>
        </x14:dataValidation>
        <x14:dataValidation type="list" allowBlank="1" showInputMessage="1" showErrorMessage="1" xr:uid="{8BAE6FCA-3517-4CAF-84EC-F926ECE12728}">
          <x14:formula1>
            <xm:f>Markets!$N$42:$N$44</xm:f>
          </x14:formula1>
          <xm:sqref>F4:F7</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2A471A-F727-41E4-8562-6687D77149B5}">
  <sheetPr codeName="THAI"/>
  <dimension ref="A1:M7"/>
  <sheetViews>
    <sheetView workbookViewId="0">
      <pane ySplit="3" topLeftCell="A4" activePane="bottomLeft" state="frozen"/>
      <selection pane="bottomLeft"/>
    </sheetView>
  </sheetViews>
  <sheetFormatPr defaultColWidth="9.140625" defaultRowHeight="15" x14ac:dyDescent="0.25"/>
  <cols>
    <col min="1" max="2" width="9.140625" style="64"/>
    <col min="3" max="3" width="29.7109375" style="62" bestFit="1" customWidth="1"/>
    <col min="4" max="5" width="9.140625" style="64"/>
    <col min="6" max="6" width="9.85546875" style="64" bestFit="1" customWidth="1"/>
    <col min="7" max="9" width="9.140625" style="62"/>
    <col min="10" max="10" width="13.140625" style="62" bestFit="1" customWidth="1"/>
    <col min="11" max="11" width="9.140625" style="62"/>
    <col min="12" max="12" width="11" style="62" bestFit="1" customWidth="1"/>
    <col min="13" max="16384" width="9.140625" style="62"/>
  </cols>
  <sheetData>
    <row r="1" spans="1:13" x14ac:dyDescent="0.25">
      <c r="A1" s="64" t="str" cm="1">
        <f t="array" aca="1" ref="A1" ca="1">RIGHT(CELL("filename",A1),LEN(CELL("filename",A1))-SEARCH("]",CELL("filename",A1)))</f>
        <v>SET</v>
      </c>
      <c r="B1" s="57" t="s">
        <v>48</v>
      </c>
      <c r="C1" s="54" t="s">
        <v>49</v>
      </c>
      <c r="D1" s="64" t="str">
        <f ca="1">Markets!C11</f>
        <v>CLOSED</v>
      </c>
      <c r="H1" s="219" t="s">
        <v>302</v>
      </c>
      <c r="I1" s="219"/>
      <c r="J1" s="219"/>
      <c r="K1" s="219"/>
      <c r="L1" s="219"/>
      <c r="M1" s="219"/>
    </row>
    <row r="2" spans="1:13" x14ac:dyDescent="0.25">
      <c r="B2" s="72"/>
      <c r="C2" s="73"/>
      <c r="H2" s="217" t="s">
        <v>303</v>
      </c>
      <c r="I2" s="218"/>
      <c r="J2" s="74" t="s">
        <v>287</v>
      </c>
      <c r="K2" s="74" t="s">
        <v>286</v>
      </c>
      <c r="L2" s="74" t="s">
        <v>327</v>
      </c>
      <c r="M2" s="74" t="s">
        <v>289</v>
      </c>
    </row>
    <row r="3" spans="1:13" s="75" customFormat="1" x14ac:dyDescent="0.25">
      <c r="A3" s="74" t="s">
        <v>287</v>
      </c>
      <c r="B3" s="74" t="s">
        <v>288</v>
      </c>
      <c r="C3" s="74" t="s">
        <v>289</v>
      </c>
      <c r="D3" s="74" t="s">
        <v>286</v>
      </c>
      <c r="E3" s="74" t="s">
        <v>287</v>
      </c>
      <c r="F3" s="74" t="s">
        <v>327</v>
      </c>
      <c r="H3" s="77" t="s">
        <v>304</v>
      </c>
      <c r="I3" s="78" t="s">
        <v>310</v>
      </c>
      <c r="J3" s="78" t="str">
        <f>INDEX(A:F,MATCH(I3,B:B,0),1) &amp; IF(ISBLANK(INDEX(A:F,MATCH(I3,B:B,0),5)),""," ("&amp;INDEX(A:F,MATCH(I3,B:B,0),5)&amp;")")</f>
        <v>STOCK (SUSP)</v>
      </c>
      <c r="K3" s="78">
        <f>INDEX(A:F,MATCH(I3,B:B,0),4)</f>
        <v>100</v>
      </c>
      <c r="L3" s="78" t="str">
        <f>IF(ISBLANK(INDEX(A:F,MATCH(I3,B:B,0),6)),"UNKNOWN",INDEX(A:F,MATCH(I3,B:B,0),6))</f>
        <v>UNKNOWN</v>
      </c>
      <c r="M3" s="79" t="str">
        <f>INDEX(A:F,MATCH(I3,B:B,0),3)</f>
        <v>MAX METAL CORP</v>
      </c>
    </row>
    <row r="4" spans="1:13" x14ac:dyDescent="0.25">
      <c r="A4" s="64" t="s">
        <v>283</v>
      </c>
      <c r="B4" s="67" t="s">
        <v>101</v>
      </c>
      <c r="C4" s="56" t="s">
        <v>102</v>
      </c>
      <c r="D4" s="64">
        <v>100</v>
      </c>
      <c r="E4" s="64" t="s">
        <v>76</v>
      </c>
    </row>
    <row r="5" spans="1:13" x14ac:dyDescent="0.25">
      <c r="A5" s="64" t="s">
        <v>283</v>
      </c>
      <c r="B5" s="64" t="b">
        <v>1</v>
      </c>
      <c r="C5" s="62" t="s">
        <v>371</v>
      </c>
      <c r="D5" s="64">
        <v>100</v>
      </c>
    </row>
    <row r="6" spans="1:13" x14ac:dyDescent="0.25">
      <c r="A6" s="64" t="s">
        <v>283</v>
      </c>
      <c r="B6" s="64" t="s">
        <v>388</v>
      </c>
      <c r="C6" s="62" t="s">
        <v>389</v>
      </c>
      <c r="D6" s="64">
        <v>100</v>
      </c>
      <c r="E6" s="64" t="s">
        <v>69</v>
      </c>
    </row>
    <row r="7" spans="1:13" x14ac:dyDescent="0.25">
      <c r="A7" s="64" t="s">
        <v>283</v>
      </c>
      <c r="B7" s="64" t="s">
        <v>405</v>
      </c>
      <c r="C7" s="62" t="s">
        <v>405</v>
      </c>
      <c r="D7" s="64">
        <v>100</v>
      </c>
    </row>
  </sheetData>
  <mergeCells count="2">
    <mergeCell ref="H1:M1"/>
    <mergeCell ref="H2:I2"/>
  </mergeCells>
  <conditionalFormatting sqref="B1:B1048576">
    <cfRule type="duplicateValues" dxfId="83" priority="14"/>
  </conditionalFormatting>
  <conditionalFormatting sqref="A1:F3 A8:F1048576 A4:E7">
    <cfRule type="expression" dxfId="82" priority="17">
      <formula>$B1=$I$3</formula>
    </cfRule>
  </conditionalFormatting>
  <conditionalFormatting sqref="A1:N3 A8:N1048576 A4:E7 G4:N7">
    <cfRule type="notContainsBlanks" dxfId="81" priority="22">
      <formula>LEN(TRIM(A1))&gt;0</formula>
    </cfRule>
  </conditionalFormatting>
  <conditionalFormatting sqref="D1">
    <cfRule type="cellIs" dxfId="80" priority="8" operator="equal">
      <formula>"OPEN"</formula>
    </cfRule>
    <cfRule type="cellIs" dxfId="79" priority="9" operator="equal">
      <formula>"CLOSED"</formula>
    </cfRule>
  </conditionalFormatting>
  <conditionalFormatting sqref="F1:F3 F8:F1048576">
    <cfRule type="cellIs" dxfId="78" priority="6" operator="equal">
      <formula>"NO"</formula>
    </cfRule>
    <cfRule type="cellIs" dxfId="77" priority="7" operator="equal">
      <formula>"YES"</formula>
    </cfRule>
  </conditionalFormatting>
  <conditionalFormatting sqref="E1:E1048576">
    <cfRule type="containsText" dxfId="76" priority="5" operator="containsText" text="SIP">
      <formula>NOT(ISERROR(SEARCH("SIP",E1)))</formula>
    </cfRule>
  </conditionalFormatting>
  <conditionalFormatting sqref="F4:F7">
    <cfRule type="notContainsBlanks" dxfId="75" priority="4">
      <formula>LEN(TRIM(F4))&gt;0</formula>
    </cfRule>
  </conditionalFormatting>
  <conditionalFormatting sqref="F4:F7">
    <cfRule type="expression" dxfId="74" priority="3">
      <formula>$B4=$J$3</formula>
    </cfRule>
  </conditionalFormatting>
  <conditionalFormatting sqref="F4:F7">
    <cfRule type="cellIs" dxfId="73" priority="1" operator="equal">
      <formula>"NO"</formula>
    </cfRule>
    <cfRule type="cellIs" dxfId="72" priority="2" operator="equal">
      <formula>"YES"</formula>
    </cfRule>
  </conditionalFormatting>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B1DEC474-DD4D-4978-B9FB-5E009D457D4F}">
          <x14:formula1>
            <xm:f>Markets!$K$42:$K$49</xm:f>
          </x14:formula1>
          <xm:sqref>A4:A7</xm:sqref>
        </x14:dataValidation>
        <x14:dataValidation type="list" allowBlank="1" showInputMessage="1" showErrorMessage="1" xr:uid="{AACD326F-3818-4252-A434-8631B4847479}">
          <x14:formula1>
            <xm:f>Markets!$N$42:$N$44</xm:f>
          </x14:formula1>
          <xm:sqref>F4:F7</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707207-4A74-4318-8DFD-1ED9335E00F3}">
  <sheetPr codeName="SGX"/>
  <dimension ref="A1:M115"/>
  <sheetViews>
    <sheetView workbookViewId="0">
      <pane ySplit="3" topLeftCell="A10" activePane="bottomLeft" state="frozen"/>
      <selection pane="bottomLeft" activeCell="B6" sqref="B6"/>
    </sheetView>
  </sheetViews>
  <sheetFormatPr defaultColWidth="9.140625" defaultRowHeight="15" x14ac:dyDescent="0.25"/>
  <cols>
    <col min="1" max="1" width="16.42578125" style="64" bestFit="1" customWidth="1"/>
    <col min="2" max="2" width="9.140625" style="64"/>
    <col min="3" max="3" width="28.140625" style="62" bestFit="1" customWidth="1"/>
    <col min="4" max="5" width="9.140625" style="64"/>
    <col min="6" max="6" width="9.85546875" style="64" bestFit="1" customWidth="1"/>
    <col min="7" max="9" width="9.140625" style="62"/>
    <col min="10" max="10" width="15.42578125" style="62" bestFit="1" customWidth="1"/>
    <col min="11" max="11" width="9.140625" style="62"/>
    <col min="12" max="12" width="11" style="62" bestFit="1" customWidth="1"/>
    <col min="13" max="16384" width="9.140625" style="62"/>
  </cols>
  <sheetData>
    <row r="1" spans="1:13" x14ac:dyDescent="0.25">
      <c r="A1" s="64" t="str" cm="1">
        <f t="array" aca="1" ref="A1" ca="1">RIGHT(CELL("filename",A1),LEN(CELL("filename",A1))-SEARCH("]",CELL("filename",A1)))</f>
        <v>SGX</v>
      </c>
      <c r="B1" s="57" t="s">
        <v>50</v>
      </c>
      <c r="C1" s="54" t="s">
        <v>51</v>
      </c>
      <c r="D1" s="64" t="str">
        <f ca="1">Markets!C12</f>
        <v>CLOSED</v>
      </c>
      <c r="H1" s="219" t="s">
        <v>302</v>
      </c>
      <c r="I1" s="219"/>
      <c r="J1" s="219"/>
      <c r="K1" s="219"/>
      <c r="L1" s="219"/>
      <c r="M1" s="219"/>
    </row>
    <row r="2" spans="1:13" x14ac:dyDescent="0.25">
      <c r="B2" s="72"/>
      <c r="C2" s="73"/>
      <c r="H2" s="217" t="s">
        <v>303</v>
      </c>
      <c r="I2" s="218"/>
      <c r="J2" s="74" t="s">
        <v>287</v>
      </c>
      <c r="K2" s="74" t="s">
        <v>286</v>
      </c>
      <c r="L2" s="74" t="s">
        <v>327</v>
      </c>
      <c r="M2" s="74" t="s">
        <v>289</v>
      </c>
    </row>
    <row r="3" spans="1:13" s="75" customFormat="1" x14ac:dyDescent="0.25">
      <c r="A3" s="74" t="s">
        <v>287</v>
      </c>
      <c r="B3" s="74" t="s">
        <v>288</v>
      </c>
      <c r="C3" s="74" t="s">
        <v>289</v>
      </c>
      <c r="D3" s="74" t="s">
        <v>286</v>
      </c>
      <c r="E3" s="74" t="s">
        <v>287</v>
      </c>
      <c r="F3" s="74" t="s">
        <v>327</v>
      </c>
      <c r="H3" s="77" t="s">
        <v>304</v>
      </c>
      <c r="I3" s="78" t="s">
        <v>753</v>
      </c>
      <c r="J3" s="78" t="str">
        <f>INDEX(A:F,MATCH(I3,B:B,0),1) &amp; IF(ISBLANK(INDEX(A:F,MATCH(I3,B:B,0),5)),""," ("&amp;INDEX(A:F,MATCH(I3,B:B,0),5)&amp;")")</f>
        <v>CATALIST STOCK</v>
      </c>
      <c r="K3" s="78">
        <f>INDEX(A:F,MATCH(I3,B:B,0),4)</f>
        <v>100</v>
      </c>
      <c r="L3" s="78" t="str">
        <f>IF(ISBLANK(INDEX(A:F,MATCH(I3,B:B,0),6)),"UNKNOWN",INDEX(A:F,MATCH(I3,B:B,0),6))</f>
        <v>UNKNOWN</v>
      </c>
      <c r="M3" s="79" t="str">
        <f>INDEX(A:F,MATCH(I3,B:B,0),3)</f>
        <v>$ SINOCLOUD</v>
      </c>
    </row>
    <row r="4" spans="1:13" x14ac:dyDescent="0.25">
      <c r="A4" s="64" t="s">
        <v>283</v>
      </c>
      <c r="B4" s="59" t="s">
        <v>103</v>
      </c>
      <c r="C4" s="55" t="s">
        <v>105</v>
      </c>
      <c r="D4" s="64">
        <v>100</v>
      </c>
      <c r="F4" s="64" t="s">
        <v>293</v>
      </c>
    </row>
    <row r="5" spans="1:13" x14ac:dyDescent="0.25">
      <c r="A5" s="64" t="s">
        <v>285</v>
      </c>
      <c r="B5" s="59" t="s">
        <v>262</v>
      </c>
      <c r="C5" s="55" t="s">
        <v>106</v>
      </c>
      <c r="D5" s="64">
        <v>100</v>
      </c>
    </row>
    <row r="6" spans="1:13" x14ac:dyDescent="0.25">
      <c r="A6" s="64" t="s">
        <v>283</v>
      </c>
      <c r="B6" s="59" t="s">
        <v>104</v>
      </c>
      <c r="C6" s="55" t="s">
        <v>107</v>
      </c>
      <c r="D6" s="64">
        <v>100</v>
      </c>
    </row>
    <row r="7" spans="1:13" x14ac:dyDescent="0.25">
      <c r="A7" s="64" t="s">
        <v>283</v>
      </c>
      <c r="B7" s="59" t="s">
        <v>108</v>
      </c>
      <c r="C7" s="55" t="s">
        <v>109</v>
      </c>
      <c r="D7" s="64">
        <v>100</v>
      </c>
      <c r="E7" s="64" t="s">
        <v>67</v>
      </c>
      <c r="F7" s="64" t="s">
        <v>293</v>
      </c>
    </row>
    <row r="8" spans="1:13" x14ac:dyDescent="0.25">
      <c r="A8" s="64" t="s">
        <v>283</v>
      </c>
      <c r="B8" s="59" t="s">
        <v>123</v>
      </c>
      <c r="C8" s="61" t="s">
        <v>125</v>
      </c>
      <c r="D8" s="64">
        <v>100</v>
      </c>
    </row>
    <row r="9" spans="1:13" x14ac:dyDescent="0.25">
      <c r="A9" s="64" t="s">
        <v>307</v>
      </c>
      <c r="B9" s="59" t="s">
        <v>124</v>
      </c>
      <c r="C9" s="61" t="s">
        <v>126</v>
      </c>
      <c r="D9" s="64">
        <v>5</v>
      </c>
      <c r="E9" s="64" t="s">
        <v>67</v>
      </c>
    </row>
    <row r="10" spans="1:13" x14ac:dyDescent="0.25">
      <c r="A10" s="64" t="s">
        <v>283</v>
      </c>
      <c r="B10" s="59" t="s">
        <v>129</v>
      </c>
      <c r="C10" s="61" t="s">
        <v>130</v>
      </c>
      <c r="D10" s="64">
        <v>100</v>
      </c>
      <c r="E10" s="64" t="s">
        <v>280</v>
      </c>
    </row>
    <row r="11" spans="1:13" x14ac:dyDescent="0.25">
      <c r="A11" s="64" t="s">
        <v>283</v>
      </c>
      <c r="B11" s="59" t="s">
        <v>133</v>
      </c>
      <c r="C11" s="61" t="s">
        <v>132</v>
      </c>
      <c r="D11" s="64">
        <v>100</v>
      </c>
      <c r="E11" s="64" t="s">
        <v>67</v>
      </c>
    </row>
    <row r="12" spans="1:13" x14ac:dyDescent="0.25">
      <c r="A12" s="64" t="s">
        <v>307</v>
      </c>
      <c r="B12" s="59" t="s">
        <v>134</v>
      </c>
      <c r="C12" s="61" t="s">
        <v>135</v>
      </c>
      <c r="D12" s="64">
        <v>5</v>
      </c>
    </row>
    <row r="13" spans="1:13" x14ac:dyDescent="0.25">
      <c r="A13" s="64" t="s">
        <v>285</v>
      </c>
      <c r="B13" s="59">
        <v>580</v>
      </c>
      <c r="C13" s="61" t="s">
        <v>159</v>
      </c>
      <c r="D13" s="64">
        <v>100</v>
      </c>
      <c r="E13" s="64" t="s">
        <v>67</v>
      </c>
    </row>
    <row r="14" spans="1:13" x14ac:dyDescent="0.25">
      <c r="A14" s="64" t="s">
        <v>283</v>
      </c>
      <c r="B14" s="59" t="s">
        <v>151</v>
      </c>
      <c r="C14" s="61" t="s">
        <v>160</v>
      </c>
      <c r="D14" s="64">
        <v>100</v>
      </c>
      <c r="E14" s="64" t="s">
        <v>67</v>
      </c>
    </row>
    <row r="15" spans="1:13" x14ac:dyDescent="0.25">
      <c r="A15" s="64" t="s">
        <v>283</v>
      </c>
      <c r="B15" s="59" t="s">
        <v>152</v>
      </c>
      <c r="C15" s="55" t="s">
        <v>161</v>
      </c>
      <c r="D15" s="64">
        <v>100</v>
      </c>
      <c r="E15" s="64" t="s">
        <v>67</v>
      </c>
      <c r="F15" s="64" t="s">
        <v>293</v>
      </c>
    </row>
    <row r="16" spans="1:13" x14ac:dyDescent="0.25">
      <c r="A16" s="64" t="s">
        <v>283</v>
      </c>
      <c r="B16" s="59" t="s">
        <v>153</v>
      </c>
      <c r="C16" s="55" t="s">
        <v>162</v>
      </c>
      <c r="D16" s="64">
        <v>100</v>
      </c>
      <c r="E16" s="64" t="s">
        <v>67</v>
      </c>
    </row>
    <row r="17" spans="1:6" x14ac:dyDescent="0.25">
      <c r="A17" s="64" t="s">
        <v>283</v>
      </c>
      <c r="B17" s="59" t="s">
        <v>154</v>
      </c>
      <c r="C17" s="55" t="s">
        <v>163</v>
      </c>
      <c r="D17" s="64">
        <v>100</v>
      </c>
      <c r="E17" s="64" t="s">
        <v>68</v>
      </c>
    </row>
    <row r="18" spans="1:6" x14ac:dyDescent="0.25">
      <c r="A18" s="64" t="s">
        <v>283</v>
      </c>
      <c r="B18" s="59" t="s">
        <v>155</v>
      </c>
      <c r="C18" s="55" t="s">
        <v>164</v>
      </c>
      <c r="D18" s="64">
        <v>100</v>
      </c>
      <c r="E18" s="64" t="s">
        <v>280</v>
      </c>
    </row>
    <row r="19" spans="1:6" x14ac:dyDescent="0.25">
      <c r="A19" s="64" t="s">
        <v>283</v>
      </c>
      <c r="B19" s="59">
        <v>558</v>
      </c>
      <c r="C19" s="55" t="s">
        <v>165</v>
      </c>
      <c r="D19" s="64">
        <v>100</v>
      </c>
      <c r="E19" s="64" t="s">
        <v>280</v>
      </c>
    </row>
    <row r="20" spans="1:6" x14ac:dyDescent="0.25">
      <c r="A20" s="64" t="s">
        <v>283</v>
      </c>
      <c r="B20" s="59" t="s">
        <v>156</v>
      </c>
      <c r="C20" s="55" t="s">
        <v>166</v>
      </c>
      <c r="D20" s="64">
        <v>100</v>
      </c>
      <c r="E20" s="64" t="s">
        <v>280</v>
      </c>
    </row>
    <row r="21" spans="1:6" x14ac:dyDescent="0.25">
      <c r="A21" s="64" t="s">
        <v>283</v>
      </c>
      <c r="B21" s="59" t="s">
        <v>157</v>
      </c>
      <c r="C21" s="55" t="s">
        <v>167</v>
      </c>
      <c r="D21" s="64">
        <v>100</v>
      </c>
      <c r="E21" s="64" t="s">
        <v>280</v>
      </c>
    </row>
    <row r="22" spans="1:6" x14ac:dyDescent="0.25">
      <c r="A22" s="64" t="s">
        <v>283</v>
      </c>
      <c r="B22" s="59" t="s">
        <v>158</v>
      </c>
      <c r="C22" s="55" t="s">
        <v>168</v>
      </c>
      <c r="D22" s="64">
        <v>100</v>
      </c>
    </row>
    <row r="23" spans="1:6" x14ac:dyDescent="0.25">
      <c r="A23" s="64" t="s">
        <v>283</v>
      </c>
      <c r="B23" s="59" t="s">
        <v>170</v>
      </c>
      <c r="C23" s="61" t="s">
        <v>173</v>
      </c>
      <c r="D23" s="64">
        <v>100</v>
      </c>
      <c r="E23" s="64" t="s">
        <v>280</v>
      </c>
    </row>
    <row r="24" spans="1:6" x14ac:dyDescent="0.25">
      <c r="A24" s="64" t="s">
        <v>283</v>
      </c>
      <c r="B24" s="59" t="s">
        <v>171</v>
      </c>
      <c r="C24" s="55" t="s">
        <v>172</v>
      </c>
      <c r="D24" s="64">
        <v>100</v>
      </c>
      <c r="E24" s="64" t="s">
        <v>67</v>
      </c>
    </row>
    <row r="25" spans="1:6" x14ac:dyDescent="0.25">
      <c r="A25" s="64" t="s">
        <v>283</v>
      </c>
      <c r="B25" s="59" t="s">
        <v>174</v>
      </c>
      <c r="C25" s="55" t="s">
        <v>178</v>
      </c>
      <c r="D25" s="64">
        <v>100</v>
      </c>
      <c r="E25" s="64" t="s">
        <v>280</v>
      </c>
    </row>
    <row r="26" spans="1:6" x14ac:dyDescent="0.25">
      <c r="A26" s="64" t="s">
        <v>283</v>
      </c>
      <c r="B26" s="59" t="s">
        <v>175</v>
      </c>
      <c r="C26" s="55" t="s">
        <v>179</v>
      </c>
      <c r="D26" s="64">
        <v>100</v>
      </c>
      <c r="E26" s="59" t="s">
        <v>67</v>
      </c>
    </row>
    <row r="27" spans="1:6" x14ac:dyDescent="0.25">
      <c r="A27" s="64" t="s">
        <v>283</v>
      </c>
      <c r="B27" s="59">
        <v>579</v>
      </c>
      <c r="C27" s="55" t="s">
        <v>180</v>
      </c>
      <c r="D27" s="64">
        <v>100</v>
      </c>
      <c r="F27" s="64" t="s">
        <v>293</v>
      </c>
    </row>
    <row r="28" spans="1:6" x14ac:dyDescent="0.25">
      <c r="A28" s="64" t="s">
        <v>283</v>
      </c>
      <c r="B28" s="59" t="s">
        <v>176</v>
      </c>
      <c r="C28" s="63" t="s">
        <v>181</v>
      </c>
      <c r="D28" s="64">
        <v>100</v>
      </c>
      <c r="E28" s="64" t="s">
        <v>280</v>
      </c>
    </row>
    <row r="29" spans="1:6" x14ac:dyDescent="0.25">
      <c r="A29" s="64" t="s">
        <v>283</v>
      </c>
      <c r="B29" s="59" t="s">
        <v>177</v>
      </c>
      <c r="C29" s="63" t="s">
        <v>182</v>
      </c>
      <c r="D29" s="64">
        <v>100</v>
      </c>
      <c r="E29" s="64" t="s">
        <v>67</v>
      </c>
    </row>
    <row r="30" spans="1:6" x14ac:dyDescent="0.25">
      <c r="A30" s="64" t="s">
        <v>285</v>
      </c>
      <c r="B30" s="59">
        <v>502</v>
      </c>
      <c r="C30" s="65" t="s">
        <v>215</v>
      </c>
      <c r="D30" s="64">
        <v>100</v>
      </c>
      <c r="E30" s="64" t="s">
        <v>67</v>
      </c>
    </row>
    <row r="31" spans="1:6" x14ac:dyDescent="0.25">
      <c r="A31" s="64" t="s">
        <v>285</v>
      </c>
      <c r="B31" s="59" t="s">
        <v>187</v>
      </c>
      <c r="C31" s="65" t="s">
        <v>216</v>
      </c>
      <c r="D31" s="64">
        <v>100</v>
      </c>
    </row>
    <row r="32" spans="1:6" x14ac:dyDescent="0.25">
      <c r="A32" s="64" t="s">
        <v>283</v>
      </c>
      <c r="B32" s="59" t="s">
        <v>188</v>
      </c>
      <c r="C32" s="63" t="s">
        <v>217</v>
      </c>
      <c r="D32" s="64">
        <v>100</v>
      </c>
      <c r="E32" s="64" t="s">
        <v>280</v>
      </c>
    </row>
    <row r="33" spans="1:6" x14ac:dyDescent="0.25">
      <c r="A33" s="64" t="s">
        <v>283</v>
      </c>
      <c r="B33" s="59" t="s">
        <v>189</v>
      </c>
      <c r="C33" s="63" t="s">
        <v>218</v>
      </c>
      <c r="D33" s="64">
        <v>100</v>
      </c>
    </row>
    <row r="34" spans="1:6" x14ac:dyDescent="0.25">
      <c r="A34" s="64" t="s">
        <v>283</v>
      </c>
      <c r="B34" s="59" t="s">
        <v>190</v>
      </c>
      <c r="C34" s="63" t="s">
        <v>219</v>
      </c>
      <c r="D34" s="64">
        <v>100</v>
      </c>
      <c r="E34" s="64" t="s">
        <v>68</v>
      </c>
    </row>
    <row r="35" spans="1:6" x14ac:dyDescent="0.25">
      <c r="A35" s="64" t="s">
        <v>283</v>
      </c>
      <c r="B35" s="59" t="s">
        <v>191</v>
      </c>
      <c r="C35" s="63" t="s">
        <v>220</v>
      </c>
      <c r="D35" s="64">
        <v>100</v>
      </c>
      <c r="E35" s="64" t="s">
        <v>280</v>
      </c>
    </row>
    <row r="36" spans="1:6" x14ac:dyDescent="0.25">
      <c r="A36" s="64" t="s">
        <v>283</v>
      </c>
      <c r="B36" s="59" t="s">
        <v>192</v>
      </c>
      <c r="C36" s="63" t="s">
        <v>221</v>
      </c>
      <c r="D36" s="64">
        <v>100</v>
      </c>
    </row>
    <row r="37" spans="1:6" x14ac:dyDescent="0.25">
      <c r="A37" s="64" t="s">
        <v>283</v>
      </c>
      <c r="B37" s="59" t="s">
        <v>193</v>
      </c>
      <c r="C37" s="63" t="s">
        <v>222</v>
      </c>
      <c r="D37" s="64">
        <v>100</v>
      </c>
      <c r="E37" s="64" t="s">
        <v>68</v>
      </c>
    </row>
    <row r="38" spans="1:6" x14ac:dyDescent="0.25">
      <c r="A38" s="64" t="s">
        <v>283</v>
      </c>
      <c r="B38" s="59" t="s">
        <v>194</v>
      </c>
      <c r="C38" s="63" t="s">
        <v>223</v>
      </c>
      <c r="D38" s="64">
        <v>100</v>
      </c>
      <c r="E38" s="64" t="s">
        <v>68</v>
      </c>
    </row>
    <row r="39" spans="1:6" x14ac:dyDescent="0.25">
      <c r="A39" s="64" t="s">
        <v>283</v>
      </c>
      <c r="B39" s="59" t="s">
        <v>195</v>
      </c>
      <c r="C39" s="63" t="s">
        <v>224</v>
      </c>
      <c r="D39" s="64">
        <v>100</v>
      </c>
      <c r="E39" s="59" t="s">
        <v>67</v>
      </c>
      <c r="F39" s="64" t="s">
        <v>293</v>
      </c>
    </row>
    <row r="40" spans="1:6" x14ac:dyDescent="0.25">
      <c r="A40" s="64" t="s">
        <v>283</v>
      </c>
      <c r="B40" s="59" t="s">
        <v>196</v>
      </c>
      <c r="C40" s="63" t="s">
        <v>225</v>
      </c>
      <c r="D40" s="64">
        <v>100</v>
      </c>
      <c r="E40" s="64" t="s">
        <v>280</v>
      </c>
    </row>
    <row r="41" spans="1:6" x14ac:dyDescent="0.25">
      <c r="A41" s="64" t="s">
        <v>283</v>
      </c>
      <c r="B41" s="59" t="s">
        <v>197</v>
      </c>
      <c r="C41" s="63" t="s">
        <v>226</v>
      </c>
      <c r="D41" s="64">
        <v>100</v>
      </c>
      <c r="E41" s="64" t="s">
        <v>280</v>
      </c>
    </row>
    <row r="42" spans="1:6" x14ac:dyDescent="0.25">
      <c r="A42" s="64" t="s">
        <v>283</v>
      </c>
      <c r="B42" s="59" t="s">
        <v>198</v>
      </c>
      <c r="C42" s="63" t="s">
        <v>227</v>
      </c>
      <c r="D42" s="64">
        <v>100</v>
      </c>
      <c r="E42" s="64" t="s">
        <v>67</v>
      </c>
    </row>
    <row r="43" spans="1:6" x14ac:dyDescent="0.25">
      <c r="A43" s="64" t="s">
        <v>283</v>
      </c>
      <c r="B43" s="59" t="s">
        <v>199</v>
      </c>
      <c r="C43" s="63" t="s">
        <v>228</v>
      </c>
      <c r="D43" s="64">
        <v>100</v>
      </c>
    </row>
    <row r="44" spans="1:6" x14ac:dyDescent="0.25">
      <c r="A44" s="64" t="s">
        <v>283</v>
      </c>
      <c r="B44" s="59" t="s">
        <v>200</v>
      </c>
      <c r="C44" s="63" t="s">
        <v>243</v>
      </c>
      <c r="D44" s="64">
        <v>100</v>
      </c>
      <c r="E44" s="64" t="s">
        <v>67</v>
      </c>
    </row>
    <row r="45" spans="1:6" x14ac:dyDescent="0.25">
      <c r="A45" s="64" t="s">
        <v>283</v>
      </c>
      <c r="B45" s="59" t="s">
        <v>201</v>
      </c>
      <c r="C45" s="63" t="s">
        <v>229</v>
      </c>
      <c r="D45" s="64">
        <v>100</v>
      </c>
      <c r="E45" s="64" t="s">
        <v>67</v>
      </c>
    </row>
    <row r="46" spans="1:6" x14ac:dyDescent="0.25">
      <c r="A46" s="64" t="s">
        <v>283</v>
      </c>
      <c r="B46" s="59" t="s">
        <v>202</v>
      </c>
      <c r="C46" s="63" t="s">
        <v>230</v>
      </c>
      <c r="D46" s="64">
        <v>100</v>
      </c>
      <c r="E46" s="64" t="s">
        <v>67</v>
      </c>
    </row>
    <row r="47" spans="1:6" x14ac:dyDescent="0.25">
      <c r="A47" s="64" t="s">
        <v>283</v>
      </c>
      <c r="B47" s="59" t="s">
        <v>203</v>
      </c>
      <c r="C47" s="63" t="s">
        <v>231</v>
      </c>
      <c r="D47" s="64">
        <v>100</v>
      </c>
      <c r="E47" s="64" t="s">
        <v>280</v>
      </c>
    </row>
    <row r="48" spans="1:6" x14ac:dyDescent="0.25">
      <c r="A48" s="64" t="s">
        <v>283</v>
      </c>
      <c r="B48" s="59" t="s">
        <v>204</v>
      </c>
      <c r="C48" s="63" t="s">
        <v>232</v>
      </c>
      <c r="D48" s="64">
        <v>100</v>
      </c>
    </row>
    <row r="49" spans="1:6" x14ac:dyDescent="0.25">
      <c r="A49" s="64" t="s">
        <v>285</v>
      </c>
      <c r="B49" s="59" t="s">
        <v>205</v>
      </c>
      <c r="C49" s="63" t="s">
        <v>233</v>
      </c>
      <c r="D49" s="64">
        <v>100</v>
      </c>
      <c r="F49" s="64" t="s">
        <v>293</v>
      </c>
    </row>
    <row r="50" spans="1:6" x14ac:dyDescent="0.25">
      <c r="A50" s="64" t="s">
        <v>285</v>
      </c>
      <c r="B50" s="59" t="s">
        <v>206</v>
      </c>
      <c r="C50" s="63" t="s">
        <v>234</v>
      </c>
      <c r="D50" s="64">
        <v>100</v>
      </c>
    </row>
    <row r="51" spans="1:6" x14ac:dyDescent="0.25">
      <c r="A51" s="64" t="s">
        <v>283</v>
      </c>
      <c r="B51" s="59" t="s">
        <v>207</v>
      </c>
      <c r="C51" s="63" t="s">
        <v>235</v>
      </c>
      <c r="D51" s="64">
        <v>100</v>
      </c>
      <c r="E51" s="64" t="s">
        <v>67</v>
      </c>
    </row>
    <row r="52" spans="1:6" x14ac:dyDescent="0.25">
      <c r="A52" s="64" t="s">
        <v>283</v>
      </c>
      <c r="B52" s="59" t="s">
        <v>301</v>
      </c>
      <c r="C52" s="63" t="s">
        <v>236</v>
      </c>
      <c r="D52" s="64">
        <v>100</v>
      </c>
      <c r="E52" s="64" t="s">
        <v>67</v>
      </c>
    </row>
    <row r="53" spans="1:6" x14ac:dyDescent="0.25">
      <c r="A53" s="64" t="s">
        <v>270</v>
      </c>
      <c r="B53" s="59" t="s">
        <v>300</v>
      </c>
      <c r="C53" s="63" t="s">
        <v>237</v>
      </c>
      <c r="D53" s="64">
        <v>100</v>
      </c>
      <c r="E53" s="64" t="s">
        <v>69</v>
      </c>
    </row>
    <row r="54" spans="1:6" x14ac:dyDescent="0.25">
      <c r="A54" s="64" t="s">
        <v>283</v>
      </c>
      <c r="B54" s="59" t="s">
        <v>208</v>
      </c>
      <c r="C54" s="63" t="s">
        <v>238</v>
      </c>
      <c r="E54" s="64" t="s">
        <v>76</v>
      </c>
    </row>
    <row r="55" spans="1:6" x14ac:dyDescent="0.25">
      <c r="A55" s="64" t="s">
        <v>283</v>
      </c>
      <c r="B55" s="59" t="s">
        <v>209</v>
      </c>
      <c r="C55" s="63" t="s">
        <v>50</v>
      </c>
      <c r="D55" s="64">
        <v>100</v>
      </c>
      <c r="E55" s="64" t="s">
        <v>67</v>
      </c>
    </row>
    <row r="56" spans="1:6" x14ac:dyDescent="0.25">
      <c r="A56" s="64" t="s">
        <v>283</v>
      </c>
      <c r="B56" s="59" t="s">
        <v>210</v>
      </c>
      <c r="C56" s="63" t="s">
        <v>239</v>
      </c>
      <c r="D56" s="64">
        <v>100</v>
      </c>
    </row>
    <row r="57" spans="1:6" x14ac:dyDescent="0.25">
      <c r="A57" s="64" t="s">
        <v>283</v>
      </c>
      <c r="B57" s="59" t="s">
        <v>211</v>
      </c>
      <c r="C57" s="63" t="s">
        <v>284</v>
      </c>
      <c r="D57" s="64">
        <v>100</v>
      </c>
    </row>
    <row r="58" spans="1:6" x14ac:dyDescent="0.25">
      <c r="A58" s="64" t="s">
        <v>290</v>
      </c>
      <c r="B58" s="59" t="s">
        <v>212</v>
      </c>
      <c r="C58" s="63" t="s">
        <v>240</v>
      </c>
      <c r="D58" s="64">
        <v>1000</v>
      </c>
    </row>
    <row r="59" spans="1:6" x14ac:dyDescent="0.25">
      <c r="A59" s="64" t="s">
        <v>283</v>
      </c>
      <c r="B59" s="59" t="s">
        <v>213</v>
      </c>
      <c r="C59" s="63" t="s">
        <v>241</v>
      </c>
      <c r="D59" s="64">
        <v>100</v>
      </c>
      <c r="E59" s="64" t="s">
        <v>67</v>
      </c>
    </row>
    <row r="60" spans="1:6" x14ac:dyDescent="0.25">
      <c r="A60" s="64" t="s">
        <v>283</v>
      </c>
      <c r="B60" s="59" t="s">
        <v>214</v>
      </c>
      <c r="C60" s="63" t="s">
        <v>242</v>
      </c>
      <c r="D60" s="64">
        <v>100</v>
      </c>
    </row>
    <row r="61" spans="1:6" x14ac:dyDescent="0.25">
      <c r="A61" s="64" t="s">
        <v>283</v>
      </c>
      <c r="B61" s="59" t="s">
        <v>244</v>
      </c>
      <c r="C61" s="66" t="s">
        <v>245</v>
      </c>
      <c r="D61" s="64">
        <v>100</v>
      </c>
      <c r="E61" s="59" t="s">
        <v>280</v>
      </c>
    </row>
    <row r="62" spans="1:6" x14ac:dyDescent="0.25">
      <c r="A62" s="64" t="s">
        <v>285</v>
      </c>
      <c r="B62" s="59" t="s">
        <v>246</v>
      </c>
      <c r="C62" s="66" t="s">
        <v>247</v>
      </c>
      <c r="D62" s="64">
        <v>100</v>
      </c>
    </row>
    <row r="63" spans="1:6" x14ac:dyDescent="0.25">
      <c r="A63" s="64" t="s">
        <v>283</v>
      </c>
      <c r="B63" s="59" t="s">
        <v>248</v>
      </c>
      <c r="C63" s="66" t="s">
        <v>249</v>
      </c>
      <c r="D63" s="64">
        <v>100</v>
      </c>
      <c r="E63" s="64" t="s">
        <v>280</v>
      </c>
    </row>
    <row r="64" spans="1:6" x14ac:dyDescent="0.25">
      <c r="A64" s="64" t="s">
        <v>283</v>
      </c>
      <c r="B64" s="59" t="s">
        <v>250</v>
      </c>
      <c r="C64" s="66" t="s">
        <v>251</v>
      </c>
      <c r="D64" s="64">
        <v>100</v>
      </c>
      <c r="E64" s="64" t="s">
        <v>280</v>
      </c>
    </row>
    <row r="65" spans="1:6" x14ac:dyDescent="0.25">
      <c r="A65" s="64" t="s">
        <v>283</v>
      </c>
      <c r="B65" s="59" t="s">
        <v>252</v>
      </c>
      <c r="C65" s="66" t="s">
        <v>253</v>
      </c>
      <c r="D65" s="64">
        <v>100</v>
      </c>
      <c r="E65" s="64" t="s">
        <v>280</v>
      </c>
    </row>
    <row r="66" spans="1:6" x14ac:dyDescent="0.25">
      <c r="A66" s="64" t="s">
        <v>270</v>
      </c>
      <c r="B66" s="59" t="s">
        <v>254</v>
      </c>
      <c r="C66" s="66" t="s">
        <v>255</v>
      </c>
      <c r="D66" s="64">
        <v>100</v>
      </c>
      <c r="E66" s="64" t="s">
        <v>69</v>
      </c>
    </row>
    <row r="67" spans="1:6" x14ac:dyDescent="0.25">
      <c r="A67" s="64" t="s">
        <v>270</v>
      </c>
      <c r="B67" s="59" t="s">
        <v>256</v>
      </c>
      <c r="C67" s="66" t="s">
        <v>257</v>
      </c>
      <c r="D67" s="64">
        <v>100</v>
      </c>
      <c r="E67" s="64" t="s">
        <v>69</v>
      </c>
    </row>
    <row r="68" spans="1:6" x14ac:dyDescent="0.25">
      <c r="A68" s="64" t="s">
        <v>283</v>
      </c>
      <c r="B68" s="59" t="s">
        <v>110</v>
      </c>
      <c r="C68" s="66" t="s">
        <v>111</v>
      </c>
      <c r="D68" s="64">
        <v>100</v>
      </c>
    </row>
    <row r="69" spans="1:6" x14ac:dyDescent="0.25">
      <c r="B69" s="59" t="s">
        <v>258</v>
      </c>
      <c r="C69" s="66" t="s">
        <v>259</v>
      </c>
    </row>
    <row r="70" spans="1:6" x14ac:dyDescent="0.25">
      <c r="A70" s="64" t="s">
        <v>283</v>
      </c>
      <c r="B70" s="68" t="s">
        <v>260</v>
      </c>
      <c r="C70" s="69" t="s">
        <v>261</v>
      </c>
      <c r="D70" s="64">
        <v>100</v>
      </c>
      <c r="E70" s="64" t="s">
        <v>67</v>
      </c>
    </row>
    <row r="71" spans="1:6" x14ac:dyDescent="0.25">
      <c r="A71" s="64" t="s">
        <v>270</v>
      </c>
      <c r="B71" s="59" t="s">
        <v>265</v>
      </c>
      <c r="C71" s="63" t="s">
        <v>268</v>
      </c>
      <c r="D71" s="59">
        <v>100</v>
      </c>
      <c r="E71" s="59" t="s">
        <v>69</v>
      </c>
      <c r="F71" s="64" t="s">
        <v>293</v>
      </c>
    </row>
    <row r="72" spans="1:6" x14ac:dyDescent="0.25">
      <c r="A72" s="64" t="s">
        <v>270</v>
      </c>
      <c r="B72" s="59" t="s">
        <v>266</v>
      </c>
      <c r="C72" s="63" t="s">
        <v>269</v>
      </c>
      <c r="D72" s="59">
        <v>100</v>
      </c>
      <c r="E72" s="59" t="s">
        <v>69</v>
      </c>
      <c r="F72" s="64" t="s">
        <v>293</v>
      </c>
    </row>
    <row r="73" spans="1:6" x14ac:dyDescent="0.25">
      <c r="A73" s="64" t="s">
        <v>270</v>
      </c>
      <c r="B73" s="59" t="s">
        <v>267</v>
      </c>
      <c r="C73" s="63" t="s">
        <v>277</v>
      </c>
      <c r="D73" s="64">
        <v>100</v>
      </c>
      <c r="E73" s="59" t="s">
        <v>69</v>
      </c>
    </row>
    <row r="74" spans="1:6" x14ac:dyDescent="0.25">
      <c r="A74" s="64" t="s">
        <v>270</v>
      </c>
      <c r="B74" s="59" t="s">
        <v>271</v>
      </c>
      <c r="C74" s="63" t="s">
        <v>274</v>
      </c>
      <c r="D74" s="64">
        <v>100</v>
      </c>
      <c r="E74" s="59" t="s">
        <v>69</v>
      </c>
    </row>
    <row r="75" spans="1:6" x14ac:dyDescent="0.25">
      <c r="A75" s="64" t="s">
        <v>270</v>
      </c>
      <c r="B75" s="59" t="s">
        <v>272</v>
      </c>
      <c r="C75" s="63" t="s">
        <v>275</v>
      </c>
      <c r="D75" s="64">
        <v>100</v>
      </c>
      <c r="E75" s="59" t="s">
        <v>69</v>
      </c>
    </row>
    <row r="76" spans="1:6" x14ac:dyDescent="0.25">
      <c r="A76" s="64" t="s">
        <v>270</v>
      </c>
      <c r="B76" s="59" t="s">
        <v>273</v>
      </c>
      <c r="C76" s="63" t="s">
        <v>276</v>
      </c>
      <c r="D76" s="64">
        <v>100</v>
      </c>
      <c r="E76" s="59" t="s">
        <v>69</v>
      </c>
    </row>
    <row r="77" spans="1:6" x14ac:dyDescent="0.25">
      <c r="A77" s="64" t="s">
        <v>283</v>
      </c>
      <c r="B77" s="59" t="s">
        <v>278</v>
      </c>
      <c r="C77" s="63" t="s">
        <v>279</v>
      </c>
      <c r="D77" s="64">
        <v>100</v>
      </c>
      <c r="E77" s="59" t="s">
        <v>280</v>
      </c>
    </row>
    <row r="78" spans="1:6" x14ac:dyDescent="0.25">
      <c r="A78" s="64" t="s">
        <v>283</v>
      </c>
      <c r="B78" s="59" t="s">
        <v>281</v>
      </c>
      <c r="C78" s="63" t="s">
        <v>282</v>
      </c>
      <c r="D78" s="64">
        <v>100</v>
      </c>
      <c r="E78" s="59" t="s">
        <v>67</v>
      </c>
      <c r="F78" s="64" t="s">
        <v>293</v>
      </c>
    </row>
    <row r="79" spans="1:6" x14ac:dyDescent="0.25">
      <c r="A79" s="64" t="s">
        <v>283</v>
      </c>
      <c r="B79" s="64" t="s">
        <v>295</v>
      </c>
      <c r="C79" s="62" t="s">
        <v>296</v>
      </c>
      <c r="D79" s="64">
        <v>100</v>
      </c>
      <c r="E79" s="64" t="s">
        <v>67</v>
      </c>
    </row>
    <row r="80" spans="1:6" x14ac:dyDescent="0.25">
      <c r="A80" s="64" t="s">
        <v>270</v>
      </c>
      <c r="B80" s="64" t="s">
        <v>297</v>
      </c>
      <c r="C80" s="62" t="s">
        <v>298</v>
      </c>
      <c r="D80" s="64">
        <v>100</v>
      </c>
      <c r="E80" s="64" t="s">
        <v>69</v>
      </c>
    </row>
    <row r="81" spans="1:5" x14ac:dyDescent="0.25">
      <c r="B81" s="64" t="s">
        <v>299</v>
      </c>
      <c r="C81" s="62" t="s">
        <v>259</v>
      </c>
    </row>
    <row r="82" spans="1:5" x14ac:dyDescent="0.25">
      <c r="A82" s="64" t="s">
        <v>283</v>
      </c>
      <c r="B82" s="64" t="s">
        <v>330</v>
      </c>
      <c r="C82" s="62" t="s">
        <v>331</v>
      </c>
      <c r="D82" s="64">
        <v>100</v>
      </c>
      <c r="E82" s="64" t="s">
        <v>67</v>
      </c>
    </row>
    <row r="83" spans="1:5" x14ac:dyDescent="0.25">
      <c r="A83" s="64" t="s">
        <v>270</v>
      </c>
      <c r="B83" s="64" t="s">
        <v>332</v>
      </c>
      <c r="C83" s="62" t="s">
        <v>333</v>
      </c>
      <c r="D83" s="64">
        <v>100</v>
      </c>
      <c r="E83" s="64" t="s">
        <v>69</v>
      </c>
    </row>
    <row r="84" spans="1:5" x14ac:dyDescent="0.25">
      <c r="A84" s="64" t="s">
        <v>307</v>
      </c>
      <c r="B84" s="64" t="s">
        <v>334</v>
      </c>
      <c r="C84" s="62" t="s">
        <v>335</v>
      </c>
      <c r="D84" s="64">
        <v>10</v>
      </c>
      <c r="E84" s="64" t="s">
        <v>69</v>
      </c>
    </row>
    <row r="85" spans="1:5" x14ac:dyDescent="0.25">
      <c r="A85" s="64" t="s">
        <v>283</v>
      </c>
      <c r="B85" s="64" t="s">
        <v>336</v>
      </c>
      <c r="C85" s="62" t="s">
        <v>337</v>
      </c>
      <c r="D85" s="64">
        <v>100</v>
      </c>
      <c r="E85" s="64" t="s">
        <v>67</v>
      </c>
    </row>
    <row r="86" spans="1:5" x14ac:dyDescent="0.25">
      <c r="A86" s="64" t="s">
        <v>283</v>
      </c>
      <c r="B86" s="64" t="s">
        <v>338</v>
      </c>
      <c r="C86" s="62" t="s">
        <v>339</v>
      </c>
      <c r="D86" s="64">
        <v>100</v>
      </c>
      <c r="E86" s="64" t="s">
        <v>67</v>
      </c>
    </row>
    <row r="87" spans="1:5" x14ac:dyDescent="0.25">
      <c r="A87" s="64" t="s">
        <v>283</v>
      </c>
      <c r="B87" s="64" t="s">
        <v>340</v>
      </c>
      <c r="C87" s="62" t="s">
        <v>341</v>
      </c>
      <c r="D87" s="64">
        <v>100</v>
      </c>
      <c r="E87" s="64" t="s">
        <v>377</v>
      </c>
    </row>
    <row r="88" spans="1:5" x14ac:dyDescent="0.25">
      <c r="A88" s="64" t="s">
        <v>283</v>
      </c>
      <c r="B88" s="64" t="s">
        <v>342</v>
      </c>
      <c r="C88" s="62" t="s">
        <v>343</v>
      </c>
      <c r="D88" s="64">
        <v>100</v>
      </c>
      <c r="E88" s="64" t="s">
        <v>67</v>
      </c>
    </row>
    <row r="89" spans="1:5" x14ac:dyDescent="0.25">
      <c r="A89" s="64" t="s">
        <v>270</v>
      </c>
      <c r="B89" s="64" t="s">
        <v>344</v>
      </c>
      <c r="C89" s="62" t="s">
        <v>345</v>
      </c>
      <c r="D89" s="64">
        <v>100</v>
      </c>
      <c r="E89" s="64" t="s">
        <v>69</v>
      </c>
    </row>
    <row r="90" spans="1:5" x14ac:dyDescent="0.25">
      <c r="A90" s="64" t="s">
        <v>285</v>
      </c>
      <c r="B90" s="64" t="s">
        <v>346</v>
      </c>
      <c r="C90" s="62" t="s">
        <v>347</v>
      </c>
      <c r="D90" s="64">
        <v>100</v>
      </c>
      <c r="E90" s="64" t="s">
        <v>67</v>
      </c>
    </row>
    <row r="91" spans="1:5" x14ac:dyDescent="0.25">
      <c r="A91" s="64" t="s">
        <v>285</v>
      </c>
      <c r="B91" s="64">
        <v>594</v>
      </c>
      <c r="C91" s="62" t="s">
        <v>349</v>
      </c>
      <c r="D91" s="64">
        <v>100</v>
      </c>
      <c r="E91" s="64" t="s">
        <v>67</v>
      </c>
    </row>
    <row r="92" spans="1:5" x14ac:dyDescent="0.25">
      <c r="A92" s="64" t="s">
        <v>285</v>
      </c>
      <c r="B92" s="64" t="s">
        <v>350</v>
      </c>
      <c r="C92" s="62" t="s">
        <v>351</v>
      </c>
      <c r="D92" s="64">
        <v>100</v>
      </c>
    </row>
    <row r="93" spans="1:5" x14ac:dyDescent="0.25">
      <c r="A93" s="64" t="s">
        <v>283</v>
      </c>
      <c r="B93" s="91" t="s">
        <v>378</v>
      </c>
      <c r="C93" s="62" t="s">
        <v>352</v>
      </c>
      <c r="D93" s="64">
        <v>100</v>
      </c>
    </row>
    <row r="94" spans="1:5" x14ac:dyDescent="0.25">
      <c r="A94" s="64" t="s">
        <v>283</v>
      </c>
      <c r="B94" s="64" t="s">
        <v>353</v>
      </c>
      <c r="C94" s="62" t="s">
        <v>354</v>
      </c>
      <c r="D94" s="64">
        <v>100</v>
      </c>
    </row>
    <row r="95" spans="1:5" x14ac:dyDescent="0.25">
      <c r="A95" s="64" t="s">
        <v>283</v>
      </c>
      <c r="B95" s="64" t="s">
        <v>355</v>
      </c>
      <c r="C95" s="62" t="s">
        <v>356</v>
      </c>
      <c r="D95" s="64">
        <v>100</v>
      </c>
      <c r="E95" s="64" t="s">
        <v>280</v>
      </c>
    </row>
    <row r="96" spans="1:5" x14ac:dyDescent="0.25">
      <c r="A96" s="64" t="s">
        <v>283</v>
      </c>
      <c r="B96" s="64" t="s">
        <v>357</v>
      </c>
      <c r="C96" s="62" t="s">
        <v>358</v>
      </c>
      <c r="D96" s="64">
        <v>100</v>
      </c>
      <c r="E96" s="64" t="s">
        <v>76</v>
      </c>
    </row>
    <row r="97" spans="1:6" x14ac:dyDescent="0.25">
      <c r="A97" s="64" t="s">
        <v>270</v>
      </c>
      <c r="B97" s="64" t="s">
        <v>362</v>
      </c>
      <c r="C97" s="62" t="s">
        <v>363</v>
      </c>
      <c r="D97" s="64">
        <v>100</v>
      </c>
      <c r="E97" s="64" t="s">
        <v>69</v>
      </c>
      <c r="F97" s="64" t="s">
        <v>293</v>
      </c>
    </row>
    <row r="98" spans="1:6" x14ac:dyDescent="0.25">
      <c r="A98" s="64" t="s">
        <v>283</v>
      </c>
      <c r="B98" s="64" t="s">
        <v>364</v>
      </c>
      <c r="C98" s="62" t="s">
        <v>365</v>
      </c>
      <c r="D98" s="64">
        <v>100</v>
      </c>
      <c r="E98" s="64" t="s">
        <v>280</v>
      </c>
    </row>
    <row r="99" spans="1:6" x14ac:dyDescent="0.25">
      <c r="A99" s="64" t="s">
        <v>283</v>
      </c>
      <c r="B99" s="64" t="s">
        <v>366</v>
      </c>
      <c r="C99" s="62" t="s">
        <v>367</v>
      </c>
      <c r="D99" s="64">
        <v>100</v>
      </c>
    </row>
    <row r="100" spans="1:6" x14ac:dyDescent="0.25">
      <c r="A100" s="64" t="s">
        <v>283</v>
      </c>
      <c r="B100" s="64" t="s">
        <v>369</v>
      </c>
      <c r="C100" s="62" t="s">
        <v>370</v>
      </c>
      <c r="D100" s="64">
        <v>100</v>
      </c>
      <c r="E100" s="64" t="s">
        <v>70</v>
      </c>
    </row>
    <row r="101" spans="1:6" x14ac:dyDescent="0.25">
      <c r="A101" s="64" t="s">
        <v>270</v>
      </c>
      <c r="B101" s="64" t="s">
        <v>373</v>
      </c>
      <c r="C101" s="62" t="s">
        <v>374</v>
      </c>
      <c r="D101" s="64">
        <v>100</v>
      </c>
      <c r="E101" s="64" t="s">
        <v>69</v>
      </c>
    </row>
    <row r="102" spans="1:6" x14ac:dyDescent="0.25">
      <c r="A102" s="64" t="s">
        <v>283</v>
      </c>
      <c r="B102" s="64" t="s">
        <v>385</v>
      </c>
      <c r="C102" s="62" t="s">
        <v>386</v>
      </c>
      <c r="D102" s="64">
        <v>100</v>
      </c>
    </row>
    <row r="103" spans="1:6" x14ac:dyDescent="0.25">
      <c r="A103" s="64" t="s">
        <v>283</v>
      </c>
      <c r="B103" s="64" t="s">
        <v>396</v>
      </c>
      <c r="C103" s="62" t="s">
        <v>397</v>
      </c>
      <c r="D103" s="64">
        <v>100</v>
      </c>
      <c r="E103" s="64" t="s">
        <v>67</v>
      </c>
    </row>
    <row r="104" spans="1:6" x14ac:dyDescent="0.25">
      <c r="A104" s="64" t="s">
        <v>285</v>
      </c>
      <c r="B104" s="64" t="s">
        <v>348</v>
      </c>
      <c r="C104" s="62" t="s">
        <v>398</v>
      </c>
      <c r="D104" s="64">
        <v>100</v>
      </c>
    </row>
    <row r="105" spans="1:6" x14ac:dyDescent="0.25">
      <c r="A105" s="64" t="s">
        <v>285</v>
      </c>
      <c r="B105" s="64" t="s">
        <v>412</v>
      </c>
      <c r="C105" s="62" t="s">
        <v>413</v>
      </c>
      <c r="D105" s="64">
        <v>100</v>
      </c>
      <c r="E105" s="64" t="s">
        <v>67</v>
      </c>
    </row>
    <row r="106" spans="1:6" x14ac:dyDescent="0.25">
      <c r="A106" s="64" t="s">
        <v>283</v>
      </c>
      <c r="B106" s="64" t="s">
        <v>424</v>
      </c>
      <c r="C106" s="62" t="s">
        <v>425</v>
      </c>
      <c r="D106" s="64">
        <v>100</v>
      </c>
      <c r="E106" s="64" t="s">
        <v>280</v>
      </c>
    </row>
    <row r="107" spans="1:6" x14ac:dyDescent="0.25">
      <c r="A107" s="64" t="s">
        <v>285</v>
      </c>
      <c r="B107" s="64">
        <v>595</v>
      </c>
      <c r="C107" s="62" t="s">
        <v>426</v>
      </c>
      <c r="D107" s="64">
        <v>100</v>
      </c>
      <c r="E107" s="64" t="s">
        <v>67</v>
      </c>
    </row>
    <row r="108" spans="1:6" x14ac:dyDescent="0.25">
      <c r="A108" s="64" t="s">
        <v>285</v>
      </c>
      <c r="B108" s="64" t="s">
        <v>427</v>
      </c>
      <c r="C108" s="62" t="s">
        <v>428</v>
      </c>
      <c r="D108" s="64">
        <v>100</v>
      </c>
    </row>
    <row r="109" spans="1:6" x14ac:dyDescent="0.25">
      <c r="A109" s="64" t="s">
        <v>283</v>
      </c>
      <c r="B109" s="64" t="s">
        <v>429</v>
      </c>
      <c r="C109" s="62" t="s">
        <v>430</v>
      </c>
      <c r="D109" s="64">
        <v>100</v>
      </c>
    </row>
    <row r="110" spans="1:6" x14ac:dyDescent="0.25">
      <c r="A110" s="64" t="s">
        <v>285</v>
      </c>
      <c r="B110" s="64" t="s">
        <v>431</v>
      </c>
      <c r="C110" s="62" t="s">
        <v>432</v>
      </c>
      <c r="D110" s="64">
        <v>100</v>
      </c>
      <c r="E110" s="64" t="s">
        <v>67</v>
      </c>
      <c r="F110" s="64" t="s">
        <v>293</v>
      </c>
    </row>
    <row r="111" spans="1:6" x14ac:dyDescent="0.25">
      <c r="A111" s="64" t="s">
        <v>285</v>
      </c>
      <c r="B111" s="64" t="s">
        <v>435</v>
      </c>
      <c r="C111" s="62" t="s">
        <v>436</v>
      </c>
      <c r="D111" s="64">
        <v>100</v>
      </c>
    </row>
    <row r="112" spans="1:6" x14ac:dyDescent="0.25">
      <c r="A112" s="64" t="s">
        <v>270</v>
      </c>
      <c r="B112" s="64" t="s">
        <v>438</v>
      </c>
      <c r="C112" s="62" t="s">
        <v>439</v>
      </c>
      <c r="F112" s="64" t="s">
        <v>293</v>
      </c>
    </row>
    <row r="113" spans="1:6" x14ac:dyDescent="0.25">
      <c r="A113" s="64" t="s">
        <v>285</v>
      </c>
      <c r="B113" s="64" t="s">
        <v>440</v>
      </c>
      <c r="C113" s="62" t="s">
        <v>441</v>
      </c>
      <c r="F113" s="64" t="s">
        <v>293</v>
      </c>
    </row>
    <row r="114" spans="1:6" x14ac:dyDescent="0.25">
      <c r="A114" s="64" t="s">
        <v>285</v>
      </c>
      <c r="B114" s="64" t="s">
        <v>442</v>
      </c>
      <c r="C114" s="62" t="s">
        <v>443</v>
      </c>
      <c r="F114" s="64" t="s">
        <v>293</v>
      </c>
    </row>
    <row r="115" spans="1:6" x14ac:dyDescent="0.25">
      <c r="A115" s="64" t="s">
        <v>283</v>
      </c>
      <c r="B115" s="64" t="s">
        <v>444</v>
      </c>
      <c r="C115" s="62" t="s">
        <v>445</v>
      </c>
      <c r="F115" s="64" t="s">
        <v>293</v>
      </c>
    </row>
  </sheetData>
  <mergeCells count="2">
    <mergeCell ref="H1:M1"/>
    <mergeCell ref="H2:I2"/>
  </mergeCells>
  <conditionalFormatting sqref="B1:B1048576">
    <cfRule type="duplicateValues" dxfId="71" priority="28"/>
  </conditionalFormatting>
  <conditionalFormatting sqref="A1:N3 A116:N1048576 A4:E115 G4:N115">
    <cfRule type="notContainsBlanks" dxfId="70" priority="41">
      <formula>LEN(TRIM(A1))&gt;0</formula>
    </cfRule>
  </conditionalFormatting>
  <conditionalFormatting sqref="A1:F3 A116:F1048576 A4:E115">
    <cfRule type="expression" dxfId="69" priority="40">
      <formula>$B1=$I$3</formula>
    </cfRule>
  </conditionalFormatting>
  <conditionalFormatting sqref="D1">
    <cfRule type="cellIs" dxfId="68" priority="8" operator="equal">
      <formula>"OPEN"</formula>
    </cfRule>
    <cfRule type="cellIs" dxfId="67" priority="9" operator="equal">
      <formula>"CLOSED"</formula>
    </cfRule>
  </conditionalFormatting>
  <conditionalFormatting sqref="F1:F3 F116:F1048576">
    <cfRule type="cellIs" dxfId="66" priority="6" operator="equal">
      <formula>"NO"</formula>
    </cfRule>
    <cfRule type="cellIs" dxfId="65" priority="7" operator="equal">
      <formula>"YES"</formula>
    </cfRule>
  </conditionalFormatting>
  <conditionalFormatting sqref="E1:E1048576">
    <cfRule type="containsText" dxfId="64" priority="5" operator="containsText" text="SIP">
      <formula>NOT(ISERROR(SEARCH("SIP",E1)))</formula>
    </cfRule>
  </conditionalFormatting>
  <conditionalFormatting sqref="F4:F115">
    <cfRule type="notContainsBlanks" dxfId="63" priority="4">
      <formula>LEN(TRIM(F4))&gt;0</formula>
    </cfRule>
  </conditionalFormatting>
  <conditionalFormatting sqref="F4:F115">
    <cfRule type="expression" dxfId="62" priority="3">
      <formula>$B4=$J$3</formula>
    </cfRule>
  </conditionalFormatting>
  <conditionalFormatting sqref="F4:F115">
    <cfRule type="cellIs" dxfId="61" priority="1" operator="equal">
      <formula>"NO"</formula>
    </cfRule>
    <cfRule type="cellIs" dxfId="60" priority="2" operator="equal">
      <formula>"YES"</formula>
    </cfRule>
  </conditionalFormatting>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2">
        <x14:dataValidation type="list" allowBlank="1" showInputMessage="1" showErrorMessage="1" xr:uid="{46FA1594-D0E2-4BEA-BE8E-9C0BDCF40F15}">
          <x14:formula1>
            <xm:f>Markets!$K$42:$K$49</xm:f>
          </x14:formula1>
          <xm:sqref>A4:A115</xm:sqref>
        </x14:dataValidation>
        <x14:dataValidation type="list" allowBlank="1" showInputMessage="1" showErrorMessage="1" xr:uid="{BB54F032-0FBB-4CA9-BEF8-CC17283D89A0}">
          <x14:formula1>
            <xm:f>Markets!$N$42:$N$44</xm:f>
          </x14:formula1>
          <xm:sqref>F4:F115</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444637-2071-495A-BFEB-CEB2B1222420}">
  <sheetPr codeName="SGXO"/>
  <dimension ref="A1:M10"/>
  <sheetViews>
    <sheetView workbookViewId="0">
      <pane ySplit="3" topLeftCell="A4" activePane="bottomLeft" state="frozen"/>
      <selection pane="bottomLeft" activeCell="F10" sqref="F10"/>
    </sheetView>
  </sheetViews>
  <sheetFormatPr defaultColWidth="9.140625" defaultRowHeight="15" x14ac:dyDescent="0.25"/>
  <cols>
    <col min="1" max="1" width="15.42578125" style="64" bestFit="1" customWidth="1"/>
    <col min="2" max="2" width="9.140625" style="64"/>
    <col min="3" max="3" width="36.5703125" style="62" bestFit="1" customWidth="1"/>
    <col min="4" max="5" width="9.140625" style="64"/>
    <col min="6" max="6" width="9.85546875" style="64" bestFit="1" customWidth="1"/>
    <col min="7" max="9" width="9.140625" style="62"/>
    <col min="10" max="10" width="15.42578125" style="62" bestFit="1" customWidth="1"/>
    <col min="11" max="11" width="9.140625" style="62"/>
    <col min="12" max="12" width="11" style="62" bestFit="1" customWidth="1"/>
    <col min="13" max="16384" width="9.140625" style="62"/>
  </cols>
  <sheetData>
    <row r="1" spans="1:13" x14ac:dyDescent="0.25">
      <c r="A1" s="64" t="str" cm="1">
        <f t="array" aca="1" ref="A1" ca="1">RIGHT(CELL("filename",A1),LEN(CELL("filename",A1))-SEARCH("]",CELL("filename",A1)))</f>
        <v>SGXO</v>
      </c>
      <c r="B1" s="57" t="s">
        <v>53</v>
      </c>
      <c r="C1" s="54" t="s">
        <v>54</v>
      </c>
      <c r="D1" s="64" t="str">
        <f ca="1">Markets!C13</f>
        <v>CLOSED</v>
      </c>
      <c r="H1" s="219" t="s">
        <v>302</v>
      </c>
      <c r="I1" s="219"/>
      <c r="J1" s="219"/>
      <c r="K1" s="219"/>
      <c r="L1" s="219"/>
      <c r="M1" s="219"/>
    </row>
    <row r="2" spans="1:13" x14ac:dyDescent="0.25">
      <c r="B2" s="72"/>
      <c r="C2" s="73"/>
      <c r="H2" s="217" t="s">
        <v>303</v>
      </c>
      <c r="I2" s="218"/>
      <c r="J2" s="74" t="s">
        <v>287</v>
      </c>
      <c r="K2" s="74" t="s">
        <v>286</v>
      </c>
      <c r="L2" s="74" t="s">
        <v>327</v>
      </c>
      <c r="M2" s="74" t="s">
        <v>289</v>
      </c>
    </row>
    <row r="3" spans="1:13" s="75" customFormat="1" x14ac:dyDescent="0.25">
      <c r="A3" s="74" t="s">
        <v>287</v>
      </c>
      <c r="B3" s="74" t="s">
        <v>288</v>
      </c>
      <c r="C3" s="74" t="s">
        <v>289</v>
      </c>
      <c r="D3" s="74" t="s">
        <v>286</v>
      </c>
      <c r="E3" s="74" t="s">
        <v>287</v>
      </c>
      <c r="F3" s="74" t="s">
        <v>327</v>
      </c>
      <c r="H3" s="77" t="s">
        <v>304</v>
      </c>
      <c r="I3" s="78" t="s">
        <v>311</v>
      </c>
      <c r="J3" s="78" t="str">
        <f>INDEX(A:F,MATCH(I3,B:B,0),1) &amp; IF(ISBLANK(INDEX(A:F,MATCH(I3,B:B,0),5)),""," ("&amp;INDEX(A:F,MATCH(I3,B:B,0),5)&amp;")")</f>
        <v>STOCK (C)</v>
      </c>
      <c r="K3" s="78">
        <f>INDEX(A:F,MATCH(I3,B:B,0),4)</f>
        <v>1</v>
      </c>
      <c r="L3" s="78" t="str">
        <f>IF(ISBLANK(INDEX(A:F,MATCH(I3,B:B,0),6)),"UNKNOWN",INDEX(A:F,MATCH(I3,B:B,0),6))</f>
        <v>UNKNOWN</v>
      </c>
      <c r="M3" s="79" t="str">
        <f>INDEX(A:F,MATCH(I3,B:B,0),3)</f>
        <v>WILMAR INTL</v>
      </c>
    </row>
    <row r="4" spans="1:13" x14ac:dyDescent="0.25">
      <c r="A4" s="64" t="s">
        <v>283</v>
      </c>
      <c r="B4" s="59" t="s">
        <v>110</v>
      </c>
      <c r="C4" s="56" t="s">
        <v>111</v>
      </c>
      <c r="D4" s="64">
        <v>1</v>
      </c>
    </row>
    <row r="5" spans="1:13" x14ac:dyDescent="0.25">
      <c r="A5" s="64" t="s">
        <v>285</v>
      </c>
      <c r="B5" s="59" t="s">
        <v>262</v>
      </c>
      <c r="C5" s="63" t="s">
        <v>106</v>
      </c>
      <c r="D5" s="64">
        <v>100</v>
      </c>
    </row>
    <row r="6" spans="1:13" x14ac:dyDescent="0.25">
      <c r="A6" s="64" t="s">
        <v>283</v>
      </c>
      <c r="B6" s="59" t="s">
        <v>176</v>
      </c>
      <c r="C6" s="63" t="s">
        <v>181</v>
      </c>
      <c r="D6" s="64">
        <v>1</v>
      </c>
      <c r="E6" s="64" t="s">
        <v>67</v>
      </c>
    </row>
    <row r="7" spans="1:13" x14ac:dyDescent="0.25">
      <c r="A7" s="64" t="s">
        <v>283</v>
      </c>
      <c r="B7" s="59" t="s">
        <v>260</v>
      </c>
      <c r="C7" s="63" t="s">
        <v>261</v>
      </c>
      <c r="D7" s="64">
        <v>1</v>
      </c>
      <c r="E7" s="64" t="s">
        <v>67</v>
      </c>
    </row>
    <row r="8" spans="1:13" x14ac:dyDescent="0.25">
      <c r="B8" s="59" t="s">
        <v>258</v>
      </c>
      <c r="C8" s="63" t="s">
        <v>263</v>
      </c>
    </row>
    <row r="9" spans="1:13" x14ac:dyDescent="0.25">
      <c r="A9" s="64" t="s">
        <v>283</v>
      </c>
      <c r="B9" s="64" t="s">
        <v>171</v>
      </c>
      <c r="C9" s="62" t="s">
        <v>172</v>
      </c>
      <c r="D9" s="64">
        <v>1</v>
      </c>
      <c r="E9" s="64" t="s">
        <v>280</v>
      </c>
    </row>
    <row r="10" spans="1:13" x14ac:dyDescent="0.25">
      <c r="A10" s="64" t="s">
        <v>283</v>
      </c>
      <c r="B10" s="64" t="s">
        <v>657</v>
      </c>
      <c r="C10" s="62" t="s">
        <v>658</v>
      </c>
      <c r="D10" s="64">
        <v>1</v>
      </c>
      <c r="E10" s="64" t="s">
        <v>280</v>
      </c>
    </row>
  </sheetData>
  <mergeCells count="2">
    <mergeCell ref="H1:M1"/>
    <mergeCell ref="H2:I2"/>
  </mergeCells>
  <conditionalFormatting sqref="B1:B1048576">
    <cfRule type="duplicateValues" dxfId="59" priority="18"/>
  </conditionalFormatting>
  <conditionalFormatting sqref="A1:N3 A11:N1048576 A4:E10 G4:N10">
    <cfRule type="notContainsBlanks" dxfId="58" priority="23">
      <formula>LEN(TRIM(A1))&gt;0</formula>
    </cfRule>
  </conditionalFormatting>
  <conditionalFormatting sqref="A1:F3 A11:F1048576 A4:E10">
    <cfRule type="expression" dxfId="57" priority="22">
      <formula>$B1=$I$3</formula>
    </cfRule>
  </conditionalFormatting>
  <conditionalFormatting sqref="D1">
    <cfRule type="cellIs" dxfId="56" priority="8" operator="equal">
      <formula>"OPEN"</formula>
    </cfRule>
    <cfRule type="cellIs" dxfId="55" priority="9" operator="equal">
      <formula>"CLOSED"</formula>
    </cfRule>
  </conditionalFormatting>
  <conditionalFormatting sqref="F1:F3 F11:F1048576">
    <cfRule type="cellIs" dxfId="54" priority="6" operator="equal">
      <formula>"NO"</formula>
    </cfRule>
    <cfRule type="cellIs" dxfId="53" priority="7" operator="equal">
      <formula>"YES"</formula>
    </cfRule>
  </conditionalFormatting>
  <conditionalFormatting sqref="E1:E1048576">
    <cfRule type="containsText" dxfId="52" priority="5" operator="containsText" text="SIP">
      <formula>NOT(ISERROR(SEARCH("SIP",E1)))</formula>
    </cfRule>
  </conditionalFormatting>
  <conditionalFormatting sqref="F4:F10">
    <cfRule type="notContainsBlanks" dxfId="51" priority="4">
      <formula>LEN(TRIM(F4))&gt;0</formula>
    </cfRule>
  </conditionalFormatting>
  <conditionalFormatting sqref="F4:F10">
    <cfRule type="expression" dxfId="50" priority="3">
      <formula>$B4=$J$3</formula>
    </cfRule>
  </conditionalFormatting>
  <conditionalFormatting sqref="F4:F10">
    <cfRule type="cellIs" dxfId="49" priority="1" operator="equal">
      <formula>"NO"</formula>
    </cfRule>
    <cfRule type="cellIs" dxfId="48" priority="2" operator="equal">
      <formula>"YES"</formula>
    </cfRule>
  </conditionalFormatting>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8FCCFECF-3F2C-4B42-87B1-A7C30B33F227}">
          <x14:formula1>
            <xm:f>Markets!$K$42:$K$49</xm:f>
          </x14:formula1>
          <xm:sqref>A4:A10</xm:sqref>
        </x14:dataValidation>
        <x14:dataValidation type="list" allowBlank="1" showInputMessage="1" showErrorMessage="1" xr:uid="{138EF45A-BAAE-45C8-B7BD-482CFE683A39}">
          <x14:formula1>
            <xm:f>Markets!$N$42:$N$44</xm:f>
          </x14:formula1>
          <xm:sqref>F4:F10</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A48069-31CF-4700-BB41-816B63288723}">
  <sheetPr codeName="SSEA"/>
  <dimension ref="A1:M8"/>
  <sheetViews>
    <sheetView workbookViewId="0">
      <pane ySplit="3" topLeftCell="A4" activePane="bottomLeft" state="frozen"/>
      <selection pane="bottomLeft" activeCell="B11" sqref="B11"/>
    </sheetView>
  </sheetViews>
  <sheetFormatPr defaultColWidth="9.140625" defaultRowHeight="15" x14ac:dyDescent="0.25"/>
  <cols>
    <col min="1" max="1" width="9.140625" style="64"/>
    <col min="2" max="2" width="9.140625" style="172"/>
    <col min="3" max="3" width="30.42578125" style="62" bestFit="1" customWidth="1"/>
    <col min="4" max="5" width="9.140625" style="64"/>
    <col min="6" max="6" width="9.85546875" style="64" bestFit="1" customWidth="1"/>
    <col min="7" max="9" width="9.140625" style="62"/>
    <col min="10" max="10" width="11" style="62" bestFit="1" customWidth="1"/>
    <col min="11" max="11" width="9.140625" style="62"/>
    <col min="12" max="12" width="11" style="62" bestFit="1" customWidth="1"/>
    <col min="13" max="16384" width="9.140625" style="62"/>
  </cols>
  <sheetData>
    <row r="1" spans="1:13" x14ac:dyDescent="0.25">
      <c r="A1" s="64" t="str" cm="1">
        <f t="array" aca="1" ref="A1" ca="1">RIGHT(CELL("filename",A1),LEN(CELL("filename",A1))-SEARCH("]",CELL("filename",A1)))</f>
        <v>SSEA</v>
      </c>
      <c r="B1" s="168" t="s">
        <v>55</v>
      </c>
      <c r="C1" s="5" t="s">
        <v>56</v>
      </c>
      <c r="D1" s="64" t="str">
        <f ca="1">Markets!C14</f>
        <v>CLOSED</v>
      </c>
      <c r="H1" s="219" t="s">
        <v>302</v>
      </c>
      <c r="I1" s="219"/>
      <c r="J1" s="219"/>
      <c r="K1" s="219"/>
      <c r="L1" s="219"/>
      <c r="M1" s="219"/>
    </row>
    <row r="2" spans="1:13" x14ac:dyDescent="0.25">
      <c r="B2" s="169"/>
      <c r="C2" s="71"/>
      <c r="H2" s="217" t="s">
        <v>303</v>
      </c>
      <c r="I2" s="218"/>
      <c r="J2" s="74" t="s">
        <v>287</v>
      </c>
      <c r="K2" s="74" t="s">
        <v>286</v>
      </c>
      <c r="L2" s="74" t="s">
        <v>327</v>
      </c>
      <c r="M2" s="74" t="s">
        <v>289</v>
      </c>
    </row>
    <row r="3" spans="1:13" s="75" customFormat="1" x14ac:dyDescent="0.25">
      <c r="A3" s="74" t="s">
        <v>287</v>
      </c>
      <c r="B3" s="170" t="s">
        <v>288</v>
      </c>
      <c r="C3" s="74" t="s">
        <v>289</v>
      </c>
      <c r="D3" s="74" t="s">
        <v>286</v>
      </c>
      <c r="E3" s="74" t="s">
        <v>287</v>
      </c>
      <c r="F3" s="74" t="s">
        <v>327</v>
      </c>
      <c r="H3" s="77" t="s">
        <v>304</v>
      </c>
      <c r="I3" s="78">
        <v>600645</v>
      </c>
      <c r="J3" s="78" t="str">
        <f>INDEX(A:F,MATCH(I3,B:B,0),1) &amp; IF(ISBLANK(INDEX(A:F,MATCH(I3,B:B,0),5)),""," ("&amp;INDEX(A:F,MATCH(I3,B:B,0),5)&amp;")")</f>
        <v>STOCK (SIP)</v>
      </c>
      <c r="K3" s="78">
        <f>INDEX(A:F,MATCH(I3,B:B,0),4)</f>
        <v>100</v>
      </c>
      <c r="L3" s="78" t="str">
        <f>IF(ISBLANK(INDEX(A:F,MATCH(I3,B:B,0),6)),"UNKNOWN",INDEX(A:F,MATCH(I3,B:B,0),6))</f>
        <v>PARTIAL</v>
      </c>
      <c r="M3" s="79" t="str">
        <f>INDEX(A:F,MATCH(I3,B:B,0),3)</f>
        <v>ZHONGYUAN UNIO</v>
      </c>
    </row>
    <row r="4" spans="1:13" x14ac:dyDescent="0.25">
      <c r="A4" s="64" t="s">
        <v>283</v>
      </c>
      <c r="B4" s="171">
        <v>600026</v>
      </c>
      <c r="C4" s="55" t="s">
        <v>112</v>
      </c>
      <c r="D4" s="64">
        <v>100</v>
      </c>
    </row>
    <row r="5" spans="1:13" x14ac:dyDescent="0.25">
      <c r="A5" s="64" t="s">
        <v>283</v>
      </c>
      <c r="B5" s="171">
        <v>600000</v>
      </c>
      <c r="C5" s="61" t="s">
        <v>119</v>
      </c>
      <c r="D5" s="64">
        <v>100</v>
      </c>
      <c r="F5" s="64" t="s">
        <v>293</v>
      </c>
    </row>
    <row r="6" spans="1:13" x14ac:dyDescent="0.25">
      <c r="A6" s="64" t="s">
        <v>283</v>
      </c>
      <c r="B6" s="172">
        <v>601360</v>
      </c>
      <c r="C6" s="62" t="s">
        <v>380</v>
      </c>
      <c r="D6" s="64">
        <v>100</v>
      </c>
    </row>
    <row r="7" spans="1:13" x14ac:dyDescent="0.25">
      <c r="A7" s="64" t="s">
        <v>283</v>
      </c>
      <c r="B7" s="172">
        <v>600845</v>
      </c>
      <c r="C7" s="62" t="s">
        <v>402</v>
      </c>
      <c r="D7" s="64">
        <v>100</v>
      </c>
    </row>
    <row r="8" spans="1:13" x14ac:dyDescent="0.25">
      <c r="A8" s="64" t="s">
        <v>283</v>
      </c>
      <c r="B8" s="172">
        <v>600645</v>
      </c>
      <c r="C8" s="62" t="s">
        <v>666</v>
      </c>
      <c r="D8" s="64">
        <v>100</v>
      </c>
      <c r="E8" s="64" t="s">
        <v>69</v>
      </c>
      <c r="F8" s="64" t="s">
        <v>667</v>
      </c>
    </row>
  </sheetData>
  <mergeCells count="2">
    <mergeCell ref="H1:M1"/>
    <mergeCell ref="H2:I2"/>
  </mergeCells>
  <conditionalFormatting sqref="B1:B1048576">
    <cfRule type="duplicateValues" dxfId="47" priority="18"/>
  </conditionalFormatting>
  <conditionalFormatting sqref="A1:N3 A9:N1048576 A4:E8 G4:N8">
    <cfRule type="notContainsBlanks" dxfId="46" priority="23">
      <formula>LEN(TRIM(A1))&gt;0</formula>
    </cfRule>
  </conditionalFormatting>
  <conditionalFormatting sqref="A1:F3 A9:F1048576 A4:E8">
    <cfRule type="expression" dxfId="45" priority="22">
      <formula>$B1=$I$3</formula>
    </cfRule>
  </conditionalFormatting>
  <conditionalFormatting sqref="D1">
    <cfRule type="cellIs" dxfId="44" priority="8" operator="equal">
      <formula>"OPEN"</formula>
    </cfRule>
    <cfRule type="cellIs" dxfId="43" priority="9" operator="equal">
      <formula>"CLOSED"</formula>
    </cfRule>
  </conditionalFormatting>
  <conditionalFormatting sqref="F1:F3 F9:F1048576">
    <cfRule type="cellIs" dxfId="42" priority="6" operator="equal">
      <formula>"NO"</formula>
    </cfRule>
    <cfRule type="cellIs" dxfId="41" priority="7" operator="equal">
      <formula>"YES"</formula>
    </cfRule>
  </conditionalFormatting>
  <conditionalFormatting sqref="E1:E1048576">
    <cfRule type="containsText" dxfId="40" priority="5" operator="containsText" text="SIP">
      <formula>NOT(ISERROR(SEARCH("SIP",E1)))</formula>
    </cfRule>
  </conditionalFormatting>
  <conditionalFormatting sqref="F4:F8">
    <cfRule type="notContainsBlanks" dxfId="39" priority="4">
      <formula>LEN(TRIM(F4))&gt;0</formula>
    </cfRule>
  </conditionalFormatting>
  <conditionalFormatting sqref="F4:F8">
    <cfRule type="expression" dxfId="38" priority="3">
      <formula>$B4=$J$3</formula>
    </cfRule>
  </conditionalFormatting>
  <conditionalFormatting sqref="F4:F8">
    <cfRule type="cellIs" dxfId="37" priority="1" operator="equal">
      <formula>"NO"</formula>
    </cfRule>
    <cfRule type="cellIs" dxfId="36" priority="2" operator="equal">
      <formula>"YES"</formula>
    </cfRule>
  </conditionalFormatting>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0980D2F5-4DA5-4826-9418-90F554BFAF42}">
          <x14:formula1>
            <xm:f>Markets!$K$42:$K$49</xm:f>
          </x14:formula1>
          <xm:sqref>A4:A8</xm:sqref>
        </x14:dataValidation>
        <x14:dataValidation type="list" allowBlank="1" showInputMessage="1" showErrorMessage="1" xr:uid="{782C7492-58EF-475A-A95A-2AFF0560B4A1}">
          <x14:formula1>
            <xm:f>Markets!$N$42:$N$44</xm:f>
          </x14:formula1>
          <xm:sqref>F4:F8</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18FDBE-F873-42C8-9B53-4FDA15DD7FA5}">
  <sheetPr codeName="SSEB"/>
  <dimension ref="A1:M7"/>
  <sheetViews>
    <sheetView workbookViewId="0">
      <pane ySplit="3" topLeftCell="A4" activePane="bottomLeft" state="frozen"/>
      <selection pane="bottomLeft" activeCell="B9" sqref="B9"/>
    </sheetView>
  </sheetViews>
  <sheetFormatPr defaultColWidth="9.140625" defaultRowHeight="15" x14ac:dyDescent="0.25"/>
  <cols>
    <col min="1" max="1" width="9.140625" style="64"/>
    <col min="2" max="2" width="10.28515625" style="172" bestFit="1" customWidth="1"/>
    <col min="3" max="3" width="30.28515625" style="62" bestFit="1" customWidth="1"/>
    <col min="4" max="5" width="9.140625" style="64"/>
    <col min="6" max="6" width="9.85546875" style="64" bestFit="1" customWidth="1"/>
    <col min="7" max="11" width="9.140625" style="62"/>
    <col min="12" max="12" width="11" style="62" bestFit="1" customWidth="1"/>
    <col min="13" max="16384" width="9.140625" style="62"/>
  </cols>
  <sheetData>
    <row r="1" spans="1:13" x14ac:dyDescent="0.25">
      <c r="A1" s="64" t="str" cm="1">
        <f t="array" aca="1" ref="A1" ca="1">RIGHT(CELL("filename",A1),LEN(CELL("filename",A1))-SEARCH("]",CELL("filename",A1)))</f>
        <v>SSEB</v>
      </c>
      <c r="B1" s="173" t="s">
        <v>57</v>
      </c>
      <c r="C1" s="54" t="s">
        <v>58</v>
      </c>
      <c r="D1" s="64" t="str">
        <f ca="1">Markets!C15</f>
        <v>CLOSED</v>
      </c>
      <c r="H1" s="219" t="s">
        <v>302</v>
      </c>
      <c r="I1" s="219"/>
      <c r="J1" s="219"/>
      <c r="K1" s="219"/>
      <c r="L1" s="219"/>
      <c r="M1" s="219"/>
    </row>
    <row r="2" spans="1:13" x14ac:dyDescent="0.25">
      <c r="B2" s="174"/>
      <c r="C2" s="73"/>
      <c r="H2" s="217" t="s">
        <v>303</v>
      </c>
      <c r="I2" s="218"/>
      <c r="J2" s="74" t="s">
        <v>287</v>
      </c>
      <c r="K2" s="74" t="s">
        <v>286</v>
      </c>
      <c r="L2" s="74" t="s">
        <v>327</v>
      </c>
      <c r="M2" s="74" t="s">
        <v>289</v>
      </c>
    </row>
    <row r="3" spans="1:13" s="75" customFormat="1" x14ac:dyDescent="0.25">
      <c r="A3" s="74" t="s">
        <v>287</v>
      </c>
      <c r="B3" s="170" t="s">
        <v>288</v>
      </c>
      <c r="C3" s="74" t="s">
        <v>289</v>
      </c>
      <c r="D3" s="74" t="s">
        <v>286</v>
      </c>
      <c r="E3" s="74" t="s">
        <v>287</v>
      </c>
      <c r="F3" s="74" t="s">
        <v>327</v>
      </c>
      <c r="H3" s="77" t="s">
        <v>304</v>
      </c>
      <c r="I3" s="78">
        <v>900933</v>
      </c>
      <c r="J3" s="78" t="str">
        <f>INDEX(A:F,MATCH(I3,B:B,0),1) &amp; IF(ISBLANK(INDEX(A:F,MATCH(I3,B:B,0),5)),""," ("&amp;INDEX(A:F,MATCH(I3,B:B,0),5)&amp;")")</f>
        <v>STOCK</v>
      </c>
      <c r="K3" s="78">
        <f>INDEX(A:F,MATCH(I3,B:B,0),4)</f>
        <v>100</v>
      </c>
      <c r="L3" s="78" t="str">
        <f>IF(ISBLANK(INDEX(A:F,MATCH(I3,B:B,0),6)),"UNKNOWN",INDEX(A:F,MATCH(I3,B:B,0),6))</f>
        <v>UNKNOWN</v>
      </c>
      <c r="M3" s="79" t="str">
        <f>INDEX(A:F,MATCH(I3,B:B,0),3)</f>
        <v>HUA XIN CEMENT</v>
      </c>
    </row>
    <row r="4" spans="1:13" x14ac:dyDescent="0.25">
      <c r="A4" s="64" t="s">
        <v>283</v>
      </c>
      <c r="B4" s="171">
        <v>900933</v>
      </c>
      <c r="C4" s="56" t="s">
        <v>113</v>
      </c>
      <c r="D4" s="64">
        <v>100</v>
      </c>
    </row>
    <row r="5" spans="1:13" x14ac:dyDescent="0.25">
      <c r="A5" s="64" t="s">
        <v>283</v>
      </c>
      <c r="B5" s="171">
        <v>900948</v>
      </c>
      <c r="C5" s="61" t="s">
        <v>146</v>
      </c>
      <c r="D5" s="64">
        <v>100</v>
      </c>
      <c r="F5" s="64" t="s">
        <v>293</v>
      </c>
    </row>
    <row r="6" spans="1:13" x14ac:dyDescent="0.25">
      <c r="A6" s="64" t="s">
        <v>283</v>
      </c>
      <c r="B6" s="172">
        <v>900923</v>
      </c>
      <c r="C6" s="62" t="s">
        <v>379</v>
      </c>
      <c r="D6" s="64">
        <v>100</v>
      </c>
    </row>
    <row r="7" spans="1:13" x14ac:dyDescent="0.25">
      <c r="A7" s="64" t="s">
        <v>283</v>
      </c>
      <c r="B7" s="172">
        <v>900909</v>
      </c>
      <c r="C7" s="62" t="s">
        <v>382</v>
      </c>
      <c r="D7" s="64">
        <v>100</v>
      </c>
    </row>
  </sheetData>
  <mergeCells count="2">
    <mergeCell ref="H1:M1"/>
    <mergeCell ref="H2:I2"/>
  </mergeCells>
  <conditionalFormatting sqref="B1:B1048576">
    <cfRule type="duplicateValues" dxfId="35" priority="18"/>
  </conditionalFormatting>
  <conditionalFormatting sqref="A1:N3 A8:N1048576 A4:E7 G4:N7">
    <cfRule type="notContainsBlanks" dxfId="34" priority="23">
      <formula>LEN(TRIM(A1))&gt;0</formula>
    </cfRule>
  </conditionalFormatting>
  <conditionalFormatting sqref="A1:F3 A8:F1048576 A4:E7">
    <cfRule type="expression" dxfId="33" priority="22">
      <formula>$B1=$I$3</formula>
    </cfRule>
  </conditionalFormatting>
  <conditionalFormatting sqref="D1">
    <cfRule type="cellIs" dxfId="32" priority="8" operator="equal">
      <formula>"OPEN"</formula>
    </cfRule>
    <cfRule type="cellIs" dxfId="31" priority="9" operator="equal">
      <formula>"CLOSED"</formula>
    </cfRule>
  </conditionalFormatting>
  <conditionalFormatting sqref="F1:F3 F8:F1048576">
    <cfRule type="cellIs" dxfId="30" priority="6" operator="equal">
      <formula>"NO"</formula>
    </cfRule>
    <cfRule type="cellIs" dxfId="29" priority="7" operator="equal">
      <formula>"YES"</formula>
    </cfRule>
  </conditionalFormatting>
  <conditionalFormatting sqref="E1:E1048576">
    <cfRule type="containsText" dxfId="28" priority="5" operator="containsText" text="SIP">
      <formula>NOT(ISERROR(SEARCH("SIP",E1)))</formula>
    </cfRule>
  </conditionalFormatting>
  <conditionalFormatting sqref="F4:F7">
    <cfRule type="notContainsBlanks" dxfId="27" priority="4">
      <formula>LEN(TRIM(F4))&gt;0</formula>
    </cfRule>
  </conditionalFormatting>
  <conditionalFormatting sqref="F4:F7">
    <cfRule type="expression" dxfId="26" priority="3">
      <formula>$B4=$J$3</formula>
    </cfRule>
  </conditionalFormatting>
  <conditionalFormatting sqref="F4:F7">
    <cfRule type="cellIs" dxfId="25" priority="1" operator="equal">
      <formula>"NO"</formula>
    </cfRule>
    <cfRule type="cellIs" dxfId="24" priority="2" operator="equal">
      <formula>"YES"</formula>
    </cfRule>
  </conditionalFormatting>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2">
        <x14:dataValidation type="list" allowBlank="1" showInputMessage="1" showErrorMessage="1" xr:uid="{EFA576C7-37DF-4577-80CE-8796957AB7A0}">
          <x14:formula1>
            <xm:f>Markets!$K$42:$K$49</xm:f>
          </x14:formula1>
          <xm:sqref>A4:A7</xm:sqref>
        </x14:dataValidation>
        <x14:dataValidation type="list" allowBlank="1" showInputMessage="1" showErrorMessage="1" xr:uid="{1BA4C135-AFD1-4C00-A0C1-CC6CB651F657}">
          <x14:formula1>
            <xm:f>Markets!$N$42:$N$44</xm:f>
          </x14:formula1>
          <xm:sqref>F4:F7</xm:sqref>
        </x14:dataValidation>
      </x14:dataValidation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6CC14A-C336-43B2-A695-59E4E37A7504}">
  <sheetPr codeName="SZSE"/>
  <dimension ref="A1:N8"/>
  <sheetViews>
    <sheetView workbookViewId="0">
      <pane ySplit="3" topLeftCell="A4" activePane="bottomLeft" state="frozen"/>
      <selection pane="bottomLeft" activeCell="B11" sqref="B11"/>
    </sheetView>
  </sheetViews>
  <sheetFormatPr defaultColWidth="9.140625" defaultRowHeight="15" x14ac:dyDescent="0.25"/>
  <cols>
    <col min="1" max="1" width="9.140625" style="64"/>
    <col min="2" max="2" width="12.28515625" style="172" bestFit="1" customWidth="1"/>
    <col min="3" max="3" width="64.140625" style="62" bestFit="1" customWidth="1"/>
    <col min="4" max="5" width="9.140625" style="64"/>
    <col min="6" max="6" width="9.85546875" style="64" bestFit="1" customWidth="1"/>
    <col min="7" max="7" width="13.140625" style="64" customWidth="1"/>
    <col min="8" max="8" width="9.140625" style="64"/>
    <col min="9" max="12" width="9.140625" style="62"/>
    <col min="13" max="13" width="11" style="62" bestFit="1" customWidth="1"/>
    <col min="14" max="16384" width="9.140625" style="62"/>
  </cols>
  <sheetData>
    <row r="1" spans="1:14" x14ac:dyDescent="0.25">
      <c r="A1" s="64" t="str" cm="1">
        <f t="array" aca="1" ref="A1" ca="1">RIGHT(CELL("filename",A1),LEN(CELL("filename",A1))-SEARCH("]",CELL("filename",A1)))</f>
        <v>SZSE</v>
      </c>
      <c r="B1" s="168" t="s">
        <v>59</v>
      </c>
      <c r="C1" s="5" t="s">
        <v>60</v>
      </c>
      <c r="D1" s="64" t="str">
        <f ca="1">Markets!C16</f>
        <v>CLOSED</v>
      </c>
      <c r="I1" s="219" t="s">
        <v>302</v>
      </c>
      <c r="J1" s="219"/>
      <c r="K1" s="219"/>
      <c r="L1" s="219"/>
      <c r="M1" s="219"/>
      <c r="N1" s="219"/>
    </row>
    <row r="2" spans="1:14" x14ac:dyDescent="0.25">
      <c r="B2" s="169"/>
      <c r="C2" s="71"/>
      <c r="I2" s="217" t="s">
        <v>303</v>
      </c>
      <c r="J2" s="218"/>
      <c r="K2" s="74" t="s">
        <v>287</v>
      </c>
      <c r="L2" s="74" t="s">
        <v>286</v>
      </c>
      <c r="M2" s="74" t="s">
        <v>327</v>
      </c>
      <c r="N2" s="74" t="s">
        <v>289</v>
      </c>
    </row>
    <row r="3" spans="1:14" s="75" customFormat="1" x14ac:dyDescent="0.25">
      <c r="A3" s="74" t="s">
        <v>287</v>
      </c>
      <c r="B3" s="170" t="s">
        <v>288</v>
      </c>
      <c r="C3" s="74" t="s">
        <v>289</v>
      </c>
      <c r="D3" s="74" t="s">
        <v>286</v>
      </c>
      <c r="E3" s="74" t="s">
        <v>287</v>
      </c>
      <c r="F3" s="74" t="s">
        <v>327</v>
      </c>
      <c r="G3" s="74" t="s">
        <v>661</v>
      </c>
      <c r="H3" s="74" t="s">
        <v>660</v>
      </c>
      <c r="I3" s="77" t="s">
        <v>304</v>
      </c>
      <c r="J3" s="78">
        <v>200488</v>
      </c>
      <c r="K3" s="78" t="str">
        <f>INDEX(A:F,MATCH(J3,B:B,0),1) &amp; IF(ISBLANK(INDEX(A:F,MATCH(J3,B:B,0),5)),""," ("&amp;INDEX(A:F,MATCH(J3,B:B,0),5)&amp;")")</f>
        <v>STOCK</v>
      </c>
      <c r="L3" s="78">
        <f>INDEX(A:F,MATCH(J3,B:B,0),4)</f>
        <v>100</v>
      </c>
      <c r="M3" s="78" t="str">
        <f>IF(ISBLANK(INDEX(A:F,MATCH(J3,B:B,0),6)),"UNKNOWN",INDEX(A:F,MATCH(J3,B:B,0),6))</f>
        <v>UNKNOWN</v>
      </c>
      <c r="N3" s="79" t="e" vm="109">
        <f>INDEX(A:F,MATCH(J3,B:B,0),3)</f>
        <v>#VALUE!</v>
      </c>
    </row>
    <row r="4" spans="1:14" x14ac:dyDescent="0.25">
      <c r="A4" s="64" t="s">
        <v>283</v>
      </c>
      <c r="B4" s="171">
        <v>200488</v>
      </c>
      <c r="C4" s="55" t="e" vm="109">
        <v>#VALUE!</v>
      </c>
      <c r="D4" s="64">
        <v>100</v>
      </c>
      <c r="G4" s="64" t="str" cm="1">
        <f t="array" ref="G4">_FV(C4,"Currency")</f>
        <v>HKD</v>
      </c>
      <c r="H4" s="102" cm="1">
        <f t="array" ref="H4">_FV(C4,"Price")</f>
        <v>5.29</v>
      </c>
    </row>
    <row r="5" spans="1:14" x14ac:dyDescent="0.25">
      <c r="A5" s="64" t="s">
        <v>283</v>
      </c>
      <c r="B5" s="171">
        <v>200986</v>
      </c>
      <c r="C5" s="61" t="e" vm="110">
        <v>#VALUE!</v>
      </c>
      <c r="D5" s="64">
        <v>100</v>
      </c>
      <c r="G5" s="64" t="str" cm="1">
        <f t="array" ref="G5">_FV(C5,"Currency")</f>
        <v>HKD</v>
      </c>
      <c r="H5" s="102" cm="1">
        <f t="array" ref="H5">_FV(C5,"Price")</f>
        <v>5.56</v>
      </c>
    </row>
    <row r="6" spans="1:14" x14ac:dyDescent="0.25">
      <c r="A6" s="64" t="s">
        <v>283</v>
      </c>
      <c r="B6" s="171">
        <v>200625</v>
      </c>
      <c r="C6" s="61" t="e" vm="111">
        <v>#VALUE!</v>
      </c>
      <c r="D6" s="64">
        <v>100</v>
      </c>
      <c r="G6" s="64" t="str" cm="1">
        <f t="array" ref="G6">_FV(C6,"Currency")</f>
        <v>HKD</v>
      </c>
      <c r="H6" s="102" cm="1">
        <f t="array" ref="H6">_FV(C6,"Price")</f>
        <v>7.29</v>
      </c>
    </row>
    <row r="7" spans="1:14" x14ac:dyDescent="0.25">
      <c r="A7" s="64" t="s">
        <v>283</v>
      </c>
      <c r="B7" s="171">
        <v>200017</v>
      </c>
      <c r="C7" s="61" t="e" vm="112">
        <v>#VALUE!</v>
      </c>
      <c r="D7" s="64">
        <v>100</v>
      </c>
      <c r="G7" s="64" t="str" cm="1">
        <f t="array" ref="G7">_FV(C7,"Currency")</f>
        <v>HKD</v>
      </c>
      <c r="H7" s="102" cm="1">
        <f t="array" ref="H7">_FV(C7,"Price")</f>
        <v>1.01</v>
      </c>
    </row>
    <row r="8" spans="1:14" x14ac:dyDescent="0.25">
      <c r="A8" s="64" t="s">
        <v>283</v>
      </c>
      <c r="B8" s="172">
        <v>200725</v>
      </c>
      <c r="C8" s="62" t="e" vm="113">
        <v>#VALUE!</v>
      </c>
      <c r="D8" s="64">
        <v>100</v>
      </c>
      <c r="G8" s="64" t="str" cm="1">
        <f t="array" ref="G8">_FV(C8,"Currency")</f>
        <v>HKD</v>
      </c>
      <c r="H8" s="102" cm="1">
        <f t="array" ref="H8">_FV(C8,"Price")</f>
        <v>3.89</v>
      </c>
    </row>
  </sheetData>
  <mergeCells count="2">
    <mergeCell ref="I1:N1"/>
    <mergeCell ref="I2:J2"/>
  </mergeCells>
  <conditionalFormatting sqref="B1:B1048576">
    <cfRule type="duplicateValues" dxfId="23" priority="12"/>
  </conditionalFormatting>
  <conditionalFormatting sqref="A1:O3 A9:O1048576 A4:E8 G4:O8">
    <cfRule type="notContainsBlanks" dxfId="22" priority="22">
      <formula>LEN(TRIM(A1))&gt;0</formula>
    </cfRule>
  </conditionalFormatting>
  <conditionalFormatting sqref="A1:H3 A9:H1048576 A4:E8 G4:H8">
    <cfRule type="expression" dxfId="21" priority="13">
      <formula>$B1=$J$3</formula>
    </cfRule>
  </conditionalFormatting>
  <conditionalFormatting sqref="D1">
    <cfRule type="cellIs" dxfId="20" priority="8" operator="equal">
      <formula>"OPEN"</formula>
    </cfRule>
    <cfRule type="cellIs" dxfId="19" priority="9" operator="equal">
      <formula>"CLOSED"</formula>
    </cfRule>
  </conditionalFormatting>
  <conditionalFormatting sqref="F1:F3 F9:F1048576">
    <cfRule type="cellIs" dxfId="18" priority="6" operator="equal">
      <formula>"NO"</formula>
    </cfRule>
    <cfRule type="cellIs" dxfId="17" priority="7" operator="equal">
      <formula>"YES"</formula>
    </cfRule>
  </conditionalFormatting>
  <conditionalFormatting sqref="E1:E1048576">
    <cfRule type="containsText" dxfId="16" priority="5" operator="containsText" text="SIP">
      <formula>NOT(ISERROR(SEARCH("SIP",E1)))</formula>
    </cfRule>
  </conditionalFormatting>
  <conditionalFormatting sqref="F4:F8">
    <cfRule type="notContainsBlanks" dxfId="15" priority="4">
      <formula>LEN(TRIM(F4))&gt;0</formula>
    </cfRule>
  </conditionalFormatting>
  <conditionalFormatting sqref="F4:F8">
    <cfRule type="expression" dxfId="14" priority="3">
      <formula>$B4=$J$3</formula>
    </cfRule>
  </conditionalFormatting>
  <conditionalFormatting sqref="F4:F8">
    <cfRule type="cellIs" dxfId="13" priority="1" operator="equal">
      <formula>"NO"</formula>
    </cfRule>
    <cfRule type="cellIs" dxfId="12" priority="2" operator="equal">
      <formula>"YES"</formula>
    </cfRule>
  </conditionalFormatting>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4CCD30E6-4603-4419-A373-AB4E7CFB0810}">
          <x14:formula1>
            <xm:f>Markets!$K$42:$K$49</xm:f>
          </x14:formula1>
          <xm:sqref>A4:A8</xm:sqref>
        </x14:dataValidation>
        <x14:dataValidation type="list" allowBlank="1" showInputMessage="1" showErrorMessage="1" xr:uid="{2105537B-13E4-4D17-A381-6976779B063E}">
          <x14:formula1>
            <xm:f>Markets!$N$42:$N$44</xm:f>
          </x14:formula1>
          <xm:sqref>F4:F8</xm:sqref>
        </x14:dataValidation>
      </x14:dataValidation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4DBAA8-2919-4DF0-A0ED-4999BF542553}">
  <sheetPr codeName="TSE"/>
  <dimension ref="A1:M8"/>
  <sheetViews>
    <sheetView workbookViewId="0">
      <pane ySplit="3" topLeftCell="A4" activePane="bottomLeft" state="frozen"/>
      <selection pane="bottomLeft" activeCell="B9" sqref="B9"/>
    </sheetView>
  </sheetViews>
  <sheetFormatPr defaultColWidth="9.140625" defaultRowHeight="15" x14ac:dyDescent="0.25"/>
  <cols>
    <col min="1" max="1" width="9.140625" style="64"/>
    <col min="2" max="2" width="9.140625" style="165"/>
    <col min="3" max="3" width="23.5703125" style="62" bestFit="1" customWidth="1"/>
    <col min="4" max="5" width="9.140625" style="64"/>
    <col min="6" max="6" width="9.85546875" style="64" bestFit="1" customWidth="1"/>
    <col min="7" max="11" width="9.140625" style="62"/>
    <col min="12" max="12" width="11" style="62" bestFit="1" customWidth="1"/>
    <col min="13" max="16384" width="9.140625" style="62"/>
  </cols>
  <sheetData>
    <row r="1" spans="1:13" x14ac:dyDescent="0.25">
      <c r="A1" s="64" t="str" cm="1">
        <f t="array" aca="1" ref="A1" ca="1">RIGHT(CELL("filename",A1),LEN(CELL("filename",A1))-SEARCH("]",CELL("filename",A1)))</f>
        <v>TSE</v>
      </c>
      <c r="B1" s="160" t="s">
        <v>62</v>
      </c>
      <c r="C1" s="54" t="s">
        <v>63</v>
      </c>
      <c r="D1" s="64" t="str">
        <f ca="1">Markets!C17</f>
        <v>CLOSED</v>
      </c>
      <c r="H1" s="219" t="s">
        <v>302</v>
      </c>
      <c r="I1" s="219"/>
      <c r="J1" s="219"/>
      <c r="K1" s="219"/>
      <c r="L1" s="219"/>
      <c r="M1" s="219"/>
    </row>
    <row r="2" spans="1:13" x14ac:dyDescent="0.25">
      <c r="B2" s="161"/>
      <c r="C2" s="73"/>
      <c r="H2" s="217" t="s">
        <v>303</v>
      </c>
      <c r="I2" s="218"/>
      <c r="J2" s="74" t="s">
        <v>287</v>
      </c>
      <c r="K2" s="74" t="s">
        <v>286</v>
      </c>
      <c r="L2" s="74" t="s">
        <v>327</v>
      </c>
      <c r="M2" s="74" t="s">
        <v>289</v>
      </c>
    </row>
    <row r="3" spans="1:13" s="75" customFormat="1" x14ac:dyDescent="0.25">
      <c r="A3" s="74" t="s">
        <v>287</v>
      </c>
      <c r="B3" s="162" t="s">
        <v>288</v>
      </c>
      <c r="C3" s="74" t="s">
        <v>289</v>
      </c>
      <c r="D3" s="74" t="s">
        <v>286</v>
      </c>
      <c r="E3" s="74" t="s">
        <v>287</v>
      </c>
      <c r="F3" s="74" t="s">
        <v>327</v>
      </c>
      <c r="H3" s="77" t="s">
        <v>304</v>
      </c>
      <c r="I3" s="78">
        <v>7201</v>
      </c>
      <c r="J3" s="78" t="str">
        <f>INDEX(A:F,MATCH(I3,B:B,0),1) &amp; IF(ISBLANK(INDEX(A:F,MATCH(I3,B:B,0),5)),""," ("&amp;INDEX(A:F,MATCH(I3,B:B,0),5)&amp;")")</f>
        <v>STOCK</v>
      </c>
      <c r="K3" s="78">
        <f>INDEX(A:F,MATCH(I3,B:B,0),4)</f>
        <v>100</v>
      </c>
      <c r="L3" s="78" t="str">
        <f>IF(ISBLANK(INDEX(A:F,MATCH(I3,B:B,0),6)),"UNKNOWN",INDEX(A:F,MATCH(I3,B:B,0),6))</f>
        <v>UNKNOWN</v>
      </c>
      <c r="M3" s="79" t="str">
        <f>INDEX(A:F,MATCH(I3,B:B,0),3)</f>
        <v>NISSAN MOTOR C</v>
      </c>
    </row>
    <row r="4" spans="1:13" x14ac:dyDescent="0.25">
      <c r="A4" s="64" t="s">
        <v>283</v>
      </c>
      <c r="B4" s="175">
        <v>7201</v>
      </c>
      <c r="C4" s="56" t="s">
        <v>114</v>
      </c>
      <c r="D4" s="64">
        <v>100</v>
      </c>
    </row>
    <row r="5" spans="1:13" x14ac:dyDescent="0.25">
      <c r="A5" s="64" t="s">
        <v>283</v>
      </c>
      <c r="B5" s="175">
        <v>8411</v>
      </c>
      <c r="C5" s="56" t="s">
        <v>115</v>
      </c>
      <c r="D5" s="64">
        <v>100</v>
      </c>
      <c r="F5" s="64" t="s">
        <v>293</v>
      </c>
    </row>
    <row r="6" spans="1:13" x14ac:dyDescent="0.25">
      <c r="A6" s="64" t="s">
        <v>283</v>
      </c>
      <c r="B6" s="165">
        <v>4755</v>
      </c>
      <c r="C6" s="62" t="s">
        <v>359</v>
      </c>
      <c r="D6" s="64">
        <v>100</v>
      </c>
    </row>
    <row r="7" spans="1:13" x14ac:dyDescent="0.25">
      <c r="A7" s="64" t="s">
        <v>283</v>
      </c>
      <c r="B7" s="165">
        <v>4005</v>
      </c>
      <c r="C7" s="62" t="s">
        <v>659</v>
      </c>
      <c r="D7" s="64">
        <v>100</v>
      </c>
    </row>
    <row r="8" spans="1:13" x14ac:dyDescent="0.25">
      <c r="A8" s="64" t="s">
        <v>283</v>
      </c>
      <c r="B8" s="165">
        <v>7647</v>
      </c>
      <c r="C8" s="62" t="s">
        <v>665</v>
      </c>
      <c r="D8" s="64">
        <v>100</v>
      </c>
    </row>
  </sheetData>
  <mergeCells count="2">
    <mergeCell ref="H1:M1"/>
    <mergeCell ref="H2:I2"/>
  </mergeCells>
  <conditionalFormatting sqref="B1:B1048576">
    <cfRule type="duplicateValues" dxfId="11" priority="18"/>
  </conditionalFormatting>
  <conditionalFormatting sqref="A1:N3 A9:N1048576 A4:E8 G4:N8">
    <cfRule type="notContainsBlanks" dxfId="10" priority="23">
      <formula>LEN(TRIM(A1))&gt;0</formula>
    </cfRule>
  </conditionalFormatting>
  <conditionalFormatting sqref="A1:F3 A9:F1048576 A4:E8">
    <cfRule type="expression" dxfId="9" priority="22">
      <formula>$B1=$I$3</formula>
    </cfRule>
  </conditionalFormatting>
  <conditionalFormatting sqref="D1">
    <cfRule type="cellIs" dxfId="8" priority="8" operator="equal">
      <formula>"OPEN"</formula>
    </cfRule>
    <cfRule type="cellIs" dxfId="7" priority="9" operator="equal">
      <formula>"CLOSED"</formula>
    </cfRule>
  </conditionalFormatting>
  <conditionalFormatting sqref="F1:F3 F9:F1048576">
    <cfRule type="cellIs" dxfId="6" priority="6" operator="equal">
      <formula>"NO"</formula>
    </cfRule>
    <cfRule type="cellIs" dxfId="5" priority="7" operator="equal">
      <formula>"YES"</formula>
    </cfRule>
  </conditionalFormatting>
  <conditionalFormatting sqref="E1:E1048576">
    <cfRule type="containsText" dxfId="4" priority="5" operator="containsText" text="SIP">
      <formula>NOT(ISERROR(SEARCH("SIP",E1)))</formula>
    </cfRule>
  </conditionalFormatting>
  <conditionalFormatting sqref="F4:F8">
    <cfRule type="notContainsBlanks" dxfId="3" priority="4">
      <formula>LEN(TRIM(F4))&gt;0</formula>
    </cfRule>
  </conditionalFormatting>
  <conditionalFormatting sqref="F4:F8">
    <cfRule type="expression" dxfId="2" priority="3">
      <formula>$B4=$J$3</formula>
    </cfRule>
  </conditionalFormatting>
  <conditionalFormatting sqref="F4:F8">
    <cfRule type="cellIs" dxfId="1" priority="1" operator="equal">
      <formula>"NO"</formula>
    </cfRule>
    <cfRule type="cellIs" dxfId="0" priority="2" operator="equal">
      <formula>"YES"</formula>
    </cfRule>
  </conditionalFormatting>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51436BFC-0D59-483C-B715-594575109DB0}">
          <x14:formula1>
            <xm:f>Markets!$K$42:$K$49</xm:f>
          </x14:formula1>
          <xm:sqref>A4:A8</xm:sqref>
        </x14:dataValidation>
        <x14:dataValidation type="list" allowBlank="1" showInputMessage="1" showErrorMessage="1" xr:uid="{91D6E6A6-5992-4CB6-B31D-C50128912858}">
          <x14:formula1>
            <xm:f>Markets!$N$42:$N$44</xm:f>
          </x14:formula1>
          <xm:sqref>F4:F8</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D83A846956C343429E2B21F853F2D8EB" ma:contentTypeVersion="8" ma:contentTypeDescription="Create a new document." ma:contentTypeScope="" ma:versionID="443deccd618a884fc20eb00730cccb04">
  <xsd:schema xmlns:xsd="http://www.w3.org/2001/XMLSchema" xmlns:xs="http://www.w3.org/2001/XMLSchema" xmlns:p="http://schemas.microsoft.com/office/2006/metadata/properties" xmlns:ns2="65f7ddd5-e6e0-46ec-a5f5-1ffd0b8e09a1" targetNamespace="http://schemas.microsoft.com/office/2006/metadata/properties" ma:root="true" ma:fieldsID="7ee51620687d47cf7fee14ec1f5840bb" ns2:_="">
    <xsd:import namespace="65f7ddd5-e6e0-46ec-a5f5-1ffd0b8e09a1"/>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5f7ddd5-e6e0-46ec-a5f5-1ffd0b8e09a1"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DateTaken" ma:index="14" nillable="true" ma:displayName="MediaServiceDateTaken" ma:hidden="true" ma:internalName="MediaServiceDateTaken" ma:readOnly="true">
      <xsd:simpleType>
        <xsd:restriction base="dms:Text"/>
      </xsd:simpleType>
    </xsd:element>
    <xsd:element name="MediaLengthInSeconds" ma:index="15" nillable="true" ma:displayName="Length (seconds)"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9E11E4E6-2238-44E6-B335-B0732AA36A65}">
  <ds:schemaRefs>
    <ds:schemaRef ds:uri="http://schemas.microsoft.com/sharepoint/v3/contenttype/forms"/>
  </ds:schemaRefs>
</ds:datastoreItem>
</file>

<file path=customXml/itemProps2.xml><?xml version="1.0" encoding="utf-8"?>
<ds:datastoreItem xmlns:ds="http://schemas.openxmlformats.org/officeDocument/2006/customXml" ds:itemID="{DC26C4BE-9462-4FE4-8B63-BCFC5F9497B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5f7ddd5-e6e0-46ec-a5f5-1ffd0b8e09a1"/>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D50586A8-2F63-4AA5-8812-614DA0366D65}">
  <ds:schemaRefs>
    <ds:schemaRef ds:uri="http://schemas.microsoft.com/office/2006/documentManagement/types"/>
    <ds:schemaRef ds:uri="http://schemas.openxmlformats.org/package/2006/metadata/core-properties"/>
    <ds:schemaRef ds:uri="http://purl.org/dc/elements/1.1/"/>
    <ds:schemaRef ds:uri="http://purl.org/dc/terms/"/>
    <ds:schemaRef ds:uri="65f7ddd5-e6e0-46ec-a5f5-1ffd0b8e09a1"/>
    <ds:schemaRef ds:uri="http://purl.org/dc/dcmitype/"/>
    <ds:schemaRef ds:uri="http://schemas.microsoft.com/office/infopath/2007/PartnerControls"/>
    <ds:schemaRef ds:uri="http://schemas.microsoft.com/office/2006/metadata/properties"/>
    <ds:schemaRef ds:uri="http://www.w3.org/XML/1998/namespac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1</vt:i4>
      </vt:variant>
    </vt:vector>
  </HeadingPairs>
  <TitlesOfParts>
    <vt:vector size="20" baseType="lpstr">
      <vt:lpstr>Markets</vt:lpstr>
      <vt:lpstr>Sheet1</vt:lpstr>
      <vt:lpstr>Calendar</vt:lpstr>
      <vt:lpstr>AMEX</vt:lpstr>
      <vt:lpstr>ASX</vt:lpstr>
      <vt:lpstr>BURSA</vt:lpstr>
      <vt:lpstr>HKG</vt:lpstr>
      <vt:lpstr>IDX</vt:lpstr>
      <vt:lpstr>LSE</vt:lpstr>
      <vt:lpstr>NASDAQ</vt:lpstr>
      <vt:lpstr>NYSE</vt:lpstr>
      <vt:lpstr>PHS</vt:lpstr>
      <vt:lpstr>SET</vt:lpstr>
      <vt:lpstr>SGX</vt:lpstr>
      <vt:lpstr>SGXO</vt:lpstr>
      <vt:lpstr>SSEA</vt:lpstr>
      <vt:lpstr>SSEB</vt:lpstr>
      <vt:lpstr>SZSE</vt:lpstr>
      <vt:lpstr>TSE</vt:lpstr>
      <vt:lpstr>SearchCode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Jazereel Lydia Goh Reiko</dc:creator>
  <cp:lastModifiedBy>Jazereel Lydia Goh Reiko</cp:lastModifiedBy>
  <dcterms:created xsi:type="dcterms:W3CDTF">2021-04-15T08:44:49Z</dcterms:created>
  <dcterms:modified xsi:type="dcterms:W3CDTF">2021-06-29T10:47:12Z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0x010100D83A846956C343429E2B21F853F2D8EB</vt:lpwstr>
  </property>
</Properties>
</file>